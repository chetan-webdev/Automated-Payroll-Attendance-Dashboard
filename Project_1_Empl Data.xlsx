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tables/table1.xml" ContentType="application/vnd.openxmlformats-officedocument.spreadsheetml.table+xml"/>
  <Override PartName="/xl/drawings/drawing1.xml" ContentType="application/vnd.openxmlformats-officedocument.drawing+xml"/>
  <Override PartName="/xl/slicerCaches/slicerCache1.xml" ContentType="application/vnd.ms-excel.slicerCache+xml"/>
  <Override PartName="/xl/charts/style2.xml" ContentType="application/vnd.ms-office.chartstyle+xml"/>
  <Override PartName="/xl/charts/chart1.xml" ContentType="application/vnd.openxmlformats-officedocument.drawingml.chart+xml"/>
  <Override PartName="/xl/theme/theme1.xml" ContentType="application/vnd.openxmlformats-officedocument.theme+xml"/>
  <Override PartName="/xl/charts/chart2.xml" ContentType="application/vnd.openxmlformats-officedocument.drawingml.chart+xml"/>
  <Override PartName="/xl/slicerCaches/slicerCache2.xml" ContentType="application/vnd.ms-excel.slicerCache+xml"/>
  <Override PartName="/xl/charts/style1.xml" ContentType="application/vnd.ms-office.chartstyle+xml"/>
  <Override PartName="/xl/charts/colors1.xml" ContentType="application/vnd.ms-office.chartcolorstyle+xml"/>
  <Override PartName="/xl/sharedStrings.xml" ContentType="application/vnd.openxmlformats-officedocument.spreadsheetml.sharedStrings+xml"/>
  <Override PartName="/xl/charts/colors2.xml" ContentType="application/vnd.ms-office.chartcolorstyl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worksheets/sheet1.xml" ContentType="application/vnd.openxmlformats-officedocument.spreadsheetml.worksheet+xml"/>
  <Override PartName="/xl/slicers/slicer1.xml" ContentType="application/vnd.ms-excel.slicer+xml"/>
  <Override PartName="/xl/pivotTables/pivotTable1.xml" ContentType="application/vnd.openxmlformats-officedocument.spreadsheetml.pivotTable+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2" sheetId="1" state="visible" r:id="rId4"/>
    <sheet name="sheet1" sheetId="2" state="visible" r:id="rId5"/>
  </sheets>
  <definedNames>
    <definedName name="Slicer_Department" hidden="0">#N/A</definedName>
    <definedName name="Slicer_Present_Days" hidden="0">#N/A</definedName>
  </definedNames>
  <calcPr/>
  <pivotCaches>
    <pivotCache cacheId="0" r:id="rId1"/>
  </pivotCaches>
  <extLst>
    <ext xmlns:x14="http://schemas.microsoft.com/office/spreadsheetml/2009/9/main" uri="{BBE1A952-AA13-448e-AADC-164F8A28A991}">
      <x14:slicerCaches xmlns:x14="http://schemas.microsoft.com/office/spreadsheetml/2009/9/main">
        <x14:slicerCache r:id="rId2"/>
        <x14:slicerCache r:id="rId3"/>
      </x14:slicerCaches>
    </ext>
    <ext xmlns:x15="http://schemas.microsoft.com/office/spreadsheetml/2010/11/main" uri="{D0CA8CA8-9F24-4464-BF8E-62219DCF47F9}"/>
  </extLst>
</workbook>
</file>

<file path=xl/sharedStrings.xml><?xml version="1.0" encoding="utf-8"?>
<sst xmlns="http://schemas.openxmlformats.org/spreadsheetml/2006/main" count="27" uniqueCount="27">
  <si>
    <t xml:space="preserve">AUTOMATED   PAYROLL   &amp;  ATTENDENCE  DASHBOARD</t>
  </si>
  <si>
    <t xml:space="preserve">Total Staff:1000</t>
  </si>
  <si>
    <t xml:space="preserve">Total Payout:3,25,82,640.00</t>
  </si>
  <si>
    <t xml:space="preserve">Avg Salary: 32,580.64</t>
  </si>
  <si>
    <t>Values</t>
  </si>
  <si>
    <t>Department</t>
  </si>
  <si>
    <t xml:space="preserve">Total Employees</t>
  </si>
  <si>
    <t xml:space="preserve">Total Net Payout</t>
  </si>
  <si>
    <t>Finance</t>
  </si>
  <si>
    <t>HR</t>
  </si>
  <si>
    <t>IT</t>
  </si>
  <si>
    <t>Managers</t>
  </si>
  <si>
    <t>Operations</t>
  </si>
  <si>
    <t>Sales</t>
  </si>
  <si>
    <t xml:space="preserve">Grand Total</t>
  </si>
  <si>
    <t xml:space="preserve">Automated Payroll And Attendence Sheet </t>
  </si>
  <si>
    <t xml:space="preserve">Empl ID</t>
  </si>
  <si>
    <t xml:space="preserve">Empl Name</t>
  </si>
  <si>
    <t xml:space="preserve">Monthly Basic Salary</t>
  </si>
  <si>
    <t xml:space="preserve">Total Month Days</t>
  </si>
  <si>
    <t xml:space="preserve">Present Days</t>
  </si>
  <si>
    <t xml:space="preserve">Absent Days</t>
  </si>
  <si>
    <t xml:space="preserve">Per Day Salary</t>
  </si>
  <si>
    <t xml:space="preserve">Earned Salary</t>
  </si>
  <si>
    <t xml:space="preserve">PF Deduction (12%)</t>
  </si>
  <si>
    <t xml:space="preserve">ESI Dedction (0.75%)</t>
  </si>
  <si>
    <t xml:space="preserve">Net Payable Salary</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</si>
</sst>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409]#,##0.0"/>
  </numFmts>
  <fonts count="9">
    <font>
      <sz val="11.000000"/>
      <color theme="1"/>
      <name val="Calibri"/>
      <scheme val="minor"/>
    </font>
    <font>
      <sz val="11.000000"/>
      <color rgb="FF9C6500"/>
      <name val="Calibri"/>
      <scheme val="minor"/>
    </font>
    <font>
      <sz val="11.000000"/>
      <color rgb="FF9C0006"/>
      <name val="Calibri"/>
      <scheme val="minor"/>
    </font>
    <font>
      <b/>
      <sz val="11.000000"/>
      <color rgb="FFFA7D00"/>
      <name val="Calibri"/>
      <scheme val="minor"/>
    </font>
    <font>
      <b/>
      <i/>
      <sz val="22.000000"/>
      <color theme="1" tint="0"/>
      <name val="Calibri"/>
      <scheme val="minor"/>
    </font>
    <font>
      <b/>
      <sz val="12.000000"/>
      <color theme="0" tint="0"/>
      <name val="Calibri"/>
      <scheme val="minor"/>
    </font>
    <font>
      <b/>
      <sz val="11.000000"/>
      <color theme="0" tint="0"/>
      <name val="Calibri"/>
      <scheme val="minor"/>
    </font>
    <font>
      <i/>
      <sz val="18.000000"/>
      <color theme="0" tint="0"/>
      <name val="Calibri"/>
      <scheme val="minor"/>
    </font>
    <font>
      <b/>
      <i/>
      <sz val="11.000000"/>
      <color theme="0" tint="-0.049989318521683403"/>
      <name val="Calibri"/>
      <scheme val="minor"/>
    </font>
  </fonts>
  <fills count="12">
    <fill>
      <patternFill patternType="none"/>
    </fill>
    <fill>
      <patternFill patternType="gray125"/>
    </fill>
    <fill>
      <patternFill patternType="solid">
        <fgColor rgb="FFFFEB9C"/>
        <bgColor rgb="FFFFEB9C"/>
      </patternFill>
    </fill>
    <fill>
      <patternFill patternType="solid">
        <fgColor rgb="FFFFC7CE"/>
        <bgColor rgb="FFFFC7CE"/>
      </patternFill>
    </fill>
    <fill>
      <patternFill patternType="solid">
        <fgColor rgb="FFF2F2F2"/>
        <bgColor rgb="FFF2F2F2"/>
      </patternFill>
    </fill>
    <fill>
      <patternFill patternType="solid">
        <fgColor theme="2" tint="-0.499984740745262"/>
        <bgColor theme="2" tint="-0.499984740745262"/>
      </patternFill>
    </fill>
    <fill>
      <patternFill patternType="solid">
        <fgColor theme="7" tint="0.39997558519241921"/>
        <bgColor theme="7" tint="0.39997558519241921"/>
      </patternFill>
    </fill>
    <fill>
      <patternFill patternType="solid">
        <fgColor indexed="2"/>
        <bgColor indexed="2"/>
      </patternFill>
    </fill>
    <fill>
      <patternFill patternType="solid">
        <fgColor rgb="FF00B0F0"/>
        <bgColor rgb="FF00B0F0"/>
      </patternFill>
    </fill>
    <fill>
      <patternFill patternType="solid">
        <fgColor rgb="FF00B050"/>
        <bgColor rgb="FF00B050"/>
      </patternFill>
    </fill>
    <fill>
      <patternFill patternType="solid">
        <fgColor theme="4" tint="-0.249977111117893"/>
        <bgColor theme="4" tint="-0.249977111117893"/>
      </patternFill>
    </fill>
    <fill>
      <patternFill patternType="solid">
        <fgColor theme="9" tint="-0.249977111117893"/>
        <bgColor theme="9" tint="-0.249977111117893"/>
      </patternFill>
    </fill>
  </fills>
  <borders count="5">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s>
  <cellStyleXfs count="4">
    <xf fontId="0" fillId="0" borderId="0" numFmtId="0" applyNumberFormat="1" applyFont="1" applyFill="1" applyBorder="1"/>
    <xf fontId="1" fillId="2" borderId="0" numFmtId="0" applyNumberFormat="0" applyFont="1" applyFill="1" applyBorder="0"/>
    <xf fontId="2" fillId="3" borderId="0" numFmtId="0" applyNumberFormat="0" applyFont="1" applyFill="1" applyBorder="0"/>
    <xf fontId="3" fillId="4" borderId="1" numFmtId="0" applyNumberFormat="0" applyFont="1" applyFill="1" applyBorder="1"/>
  </cellStyleXfs>
  <cellXfs count="16">
    <xf fontId="0" fillId="0" borderId="0" numFmtId="0" xfId="0"/>
    <xf fontId="0" fillId="5" borderId="0" numFmtId="0" xfId="0" applyFill="1"/>
    <xf fontId="4" fillId="6" borderId="2" numFmtId="0" xfId="0" applyFont="1" applyFill="1" applyBorder="1" applyAlignment="1">
      <alignment horizontal="center"/>
    </xf>
    <xf fontId="4" fillId="6" borderId="3" numFmtId="0" xfId="0" applyFont="1" applyFill="1" applyBorder="1" applyAlignment="1">
      <alignment horizontal="center"/>
    </xf>
    <xf fontId="4" fillId="6" borderId="4" numFmtId="0" xfId="0" applyFont="1" applyFill="1" applyBorder="1" applyAlignment="1">
      <alignment horizontal="center"/>
    </xf>
    <xf fontId="5" fillId="7" borderId="0" numFmtId="0" xfId="0" applyFont="1" applyFill="1" applyAlignment="1">
      <alignment horizontal="center"/>
    </xf>
    <xf fontId="5" fillId="8" borderId="0" numFmtId="0" xfId="0" applyFont="1" applyFill="1" applyAlignment="1">
      <alignment horizontal="center"/>
    </xf>
    <xf fontId="5" fillId="9" borderId="0" numFmtId="0" xfId="0" applyFont="1" applyFill="1" applyAlignment="1">
      <alignment horizontal="center"/>
    </xf>
    <xf fontId="0" fillId="10" borderId="0" numFmtId="0" xfId="0" applyFill="1"/>
    <xf fontId="6" fillId="10" borderId="0" numFmtId="0" xfId="0" applyFont="1" applyFill="1"/>
    <xf fontId="6" fillId="10" borderId="0" numFmtId="0" xfId="0" applyFont="1" applyFill="1" applyAlignment="1">
      <alignment horizontal="left"/>
    </xf>
    <xf fontId="6" fillId="10" borderId="0" numFmtId="164" xfId="0" applyNumberFormat="1" applyFont="1" applyFill="1"/>
    <xf fontId="7" fillId="10" borderId="0" numFmtId="0" xfId="0" applyFont="1" applyFill="1" applyAlignment="1">
      <alignment horizontal="center"/>
    </xf>
    <xf fontId="8" fillId="11" borderId="0" numFmtId="0" xfId="0" applyFont="1" applyFill="1" applyAlignment="1">
      <alignment horizontal="center"/>
    </xf>
    <xf fontId="0" fillId="0" borderId="0" numFmtId="0" xfId="0" applyAlignment="1">
      <alignment horizontal="center"/>
    </xf>
    <xf fontId="0" fillId="0" borderId="0" numFmtId="1" xfId="0" applyNumberFormat="1" applyAlignment="1">
      <alignment horizontal="center"/>
    </xf>
  </cellXfs>
  <cellStyles count="4">
    <cellStyle name="Normal" xfId="0" builtinId="0"/>
    <cellStyle name="Neutral" xfId="1" builtinId="28"/>
    <cellStyle name="Bad" xfId="2" builtinId="27"/>
    <cellStyle name="Calculation" xfId="3" builtinId="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microsoft.com/office/2007/relationships/slicerCache" Target="slicerCaches/slicerCache1.xml"/><Relationship  Id="rId3" Type="http://schemas.microsoft.com/office/2007/relationships/slicerCache" Target="slicerCaches/slicerCache2.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_rels/chart2.xml.rels><?xml version="1.0" encoding="UTF-8" standalone="yes"?><Relationships xmlns="http://schemas.openxmlformats.org/package/2006/relationships"><Relationship Id="rId1" Type="http://schemas.microsoft.com/office/2011/relationships/chartStyle" Target="style2.xml" /><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a:p>
            <a:pPr>
              <a:defRPr sz="1600" b="1" i="1" cap="none">
                <a:solidFill>
                  <a:schemeClr val="lt1">
                    <a:lumMod val="85000"/>
                  </a:schemeClr>
                </a:solidFill>
                <a:latin typeface="+mn-lt"/>
                <a:ea typeface="+mn-ea"/>
                <a:cs typeface="+mn-cs"/>
              </a:defRPr>
            </a:pPr>
            <a:r>
              <a:rPr sz="1600" b="1" i="1"/>
              <a:t>Department Payroll</a:t>
            </a:r>
            <a:endParaRPr sz="1600" b="1" i="1"/>
          </a:p>
        </c:rich>
      </c:tx>
      <c:layout/>
      <c:overlay val="0"/>
      <c:spPr bwMode="auto">
        <a:prstGeom prst="rect">
          <a:avLst/>
        </a:prstGeom>
        <a:noFill/>
        <a:ln>
          <a:noFill/>
        </a:ln>
      </c:spPr>
      <c:txPr>
        <a:bodyPr/>
        <a:p>
          <a:pPr>
            <a:defRPr sz="1600" b="1" i="1" cap="none">
              <a:solidFill>
                <a:schemeClr val="lt1">
                  <a:lumMod val="85000"/>
                </a:schemeClr>
              </a:solidFill>
              <a:latin typeface="+mn-lt"/>
              <a:ea typeface="+mn-ea"/>
              <a:cs typeface="+mn-cs"/>
            </a:defRPr>
          </a:pPr>
          <a:endParaRPr/>
        </a:p>
      </c:txPr>
    </c:title>
    <c:autoTitleDeleted val="0"/>
    <c:plotArea>
      <c:layout>
        <c:manualLayout/>
      </c:layout>
      <c:barChart>
        <c:barDir val="col"/>
        <c:grouping val="clustered"/>
        <c:varyColors val="0"/>
        <c:ser>
          <c:idx val="0"/>
          <c:order val="0"/>
          <c:spPr bwMode="auto">
            <a:prstGeom prst="rect">
              <a:avLst/>
            </a:prstGeom>
            <a:noFill/>
            <a:ln w="9525" cap="flat" cmpd="sng" algn="ctr">
              <a:solidFill>
                <a:schemeClr val="accent1"/>
              </a:solidFill>
              <a:miter lim="800000"/>
            </a:ln>
          </c:spPr>
          <c:invertIfNegative val="0"/>
          <c:dLbls>
            <c:showBubbleSize val="0"/>
            <c:showCatName val="0"/>
            <c:showLeaderLines val="0"/>
            <c:showLegendKey val="0"/>
            <c:showPercent val="0"/>
            <c:showSerName val="0"/>
            <c:showVal val="0"/>
            <c:spPr bwMode="auto">
              <a:prstGeom prst="rect">
                <a:avLst/>
              </a:prstGeom>
              <a:noFill/>
              <a:ln>
                <a:noFill/>
              </a:ln>
            </c:spPr>
            <c:txPr>
              <a:bodyPr/>
              <a:p>
                <a:pPr>
                  <a:defRPr sz="900">
                    <a:solidFill>
                      <a:schemeClr val="lt1">
                        <a:lumMod val="75000"/>
                      </a:schemeClr>
                    </a:solidFill>
                    <a:latin typeface="+mn-lt"/>
                    <a:ea typeface="+mn-ea"/>
                    <a:cs typeface="+mn-cs"/>
                  </a:defRPr>
                </a:pPr>
                <a:endParaRPr/>
              </a:p>
            </c:txPr>
          </c:dLbls>
          <c:cat>
            <c:strRef>
              <c:f>Sheet2!$A$8:$A$13</c:f>
              <c:strCache>
                <c:ptCount val="6"/>
                <c:pt idx="0">
                  <c:v>Finance</c:v>
                </c:pt>
                <c:pt idx="1">
                  <c:v>HR</c:v>
                </c:pt>
                <c:pt idx="2">
                  <c:v>IT</c:v>
                </c:pt>
                <c:pt idx="3">
                  <c:v>Managers</c:v>
                </c:pt>
                <c:pt idx="4">
                  <c:v>Operations</c:v>
                </c:pt>
                <c:pt idx="5">
                  <c:v>Sales</c:v>
                </c:pt>
              </c:strCache>
            </c:strRef>
          </c:cat>
          <c:val>
            <c:numRef>
              <c:f>Sheet2!$B$8:$B$13</c:f>
              <c:numCache>
                <c:formatCode>General</c:formatCode>
                <c:ptCount val="6"/>
                <c:pt idx="0">
                  <c:v>166</c:v>
                </c:pt>
                <c:pt idx="1">
                  <c:v>167</c:v>
                </c:pt>
                <c:pt idx="2">
                  <c:v>167</c:v>
                </c:pt>
                <c:pt idx="3">
                  <c:v>166</c:v>
                </c:pt>
                <c:pt idx="4">
                  <c:v>167</c:v>
                </c:pt>
                <c:pt idx="5">
                  <c:v>167</c:v>
                </c:pt>
              </c:numCache>
            </c:numRef>
          </c:val>
        </c:ser>
        <c:ser>
          <c:idx val="1"/>
          <c:order val="1"/>
          <c:spPr bwMode="auto">
            <a:prstGeom prst="rect">
              <a:avLst/>
            </a:prstGeom>
            <a:noFill/>
            <a:ln w="9525" cap="flat" cmpd="sng" algn="ctr">
              <a:solidFill>
                <a:schemeClr val="accent2"/>
              </a:solidFill>
              <a:miter lim="800000"/>
            </a:ln>
          </c:spPr>
          <c:invertIfNegative val="0"/>
          <c:dLbls>
            <c:showBubbleSize val="0"/>
            <c:showCatName val="0"/>
            <c:showLeaderLines val="0"/>
            <c:showLegendKey val="0"/>
            <c:showPercent val="0"/>
            <c:showSerName val="0"/>
            <c:showVal val="0"/>
            <c:spPr bwMode="auto">
              <a:prstGeom prst="rect">
                <a:avLst/>
              </a:prstGeom>
              <a:noFill/>
              <a:ln>
                <a:noFill/>
              </a:ln>
            </c:spPr>
            <c:txPr>
              <a:bodyPr/>
              <a:p>
                <a:pPr>
                  <a:defRPr sz="900">
                    <a:solidFill>
                      <a:schemeClr val="lt1">
                        <a:lumMod val="75000"/>
                      </a:schemeClr>
                    </a:solidFill>
                    <a:latin typeface="+mn-lt"/>
                    <a:ea typeface="+mn-ea"/>
                    <a:cs typeface="+mn-cs"/>
                  </a:defRPr>
                </a:pPr>
                <a:endParaRPr/>
              </a:p>
            </c:txPr>
          </c:dLbls>
          <c:cat>
            <c:strRef>
              <c:f>Sheet2!$A$8:$A$13</c:f>
              <c:strCache>
                <c:ptCount val="6"/>
                <c:pt idx="0">
                  <c:v>Finance</c:v>
                </c:pt>
                <c:pt idx="1">
                  <c:v>HR</c:v>
                </c:pt>
                <c:pt idx="2">
                  <c:v>IT</c:v>
                </c:pt>
                <c:pt idx="3">
                  <c:v>Managers</c:v>
                </c:pt>
                <c:pt idx="4">
                  <c:v>Operations</c:v>
                </c:pt>
                <c:pt idx="5">
                  <c:v>Sales</c:v>
                </c:pt>
              </c:strCache>
            </c:strRef>
          </c:cat>
          <c:val>
            <c:numRef>
              <c:f>Sheet2!$C$8:$C$13</c:f>
              <c:numCache>
                <c:formatCode>[$$-409]#,##0.0</c:formatCode>
                <c:ptCount val="6"/>
                <c:pt idx="0">
                  <c:v>5425205</c:v>
                </c:pt>
                <c:pt idx="1">
                  <c:v>5302182.5</c:v>
                </c:pt>
                <c:pt idx="2">
                  <c:v>5557825</c:v>
                </c:pt>
                <c:pt idx="3">
                  <c:v>5550845</c:v>
                </c:pt>
                <c:pt idx="4">
                  <c:v>5473192.5</c:v>
                </c:pt>
                <c:pt idx="5">
                  <c:v>5273390</c:v>
                </c:pt>
              </c:numCache>
            </c:numRef>
          </c:val>
        </c:ser>
        <c:dLbls>
          <c:showBubbleSize val="0"/>
          <c:showCatName val="0"/>
          <c:showLeaderLines val="0"/>
          <c:showLegendKey val="0"/>
          <c:showPercent val="0"/>
          <c:showSerName val="0"/>
          <c:showVal val="0"/>
          <c:spPr bwMode="auto">
            <a:prstGeom prst="rect">
              <a:avLst/>
            </a:prstGeom>
            <a:noFill/>
            <a:ln>
              <a:noFill/>
            </a:ln>
          </c:spPr>
          <c:txPr>
            <a:bodyPr/>
            <a:p>
              <a:pPr>
                <a:defRPr sz="900">
                  <a:solidFill>
                    <a:schemeClr val="lt1">
                      <a:lumMod val="75000"/>
                    </a:schemeClr>
                  </a:solidFill>
                  <a:latin typeface="+mn-lt"/>
                  <a:ea typeface="+mn-ea"/>
                  <a:cs typeface="+mn-cs"/>
                </a:defRPr>
              </a:pPr>
              <a:endParaRPr/>
            </a:p>
          </c:txPr>
        </c:dLbls>
        <c:gapWidth val="315"/>
        <c:overlap val="-39"/>
        <c:axId val="1866169475"/>
        <c:axId val="1866169476"/>
      </c:barChart>
      <c:catAx>
        <c:axId val="1866169475"/>
        <c:scaling>
          <c:orientation val="minMax"/>
        </c:scaling>
        <c:delete val="0"/>
        <c:axPos val="b"/>
        <c:majorGridlines>
          <c:spPr bwMode="auto">
            <a:prstGeom prst="rect">
              <a:avLst/>
            </a:prstGeom>
            <a:noFill/>
            <a:ln w="9525" cap="flat" cmpd="sng" algn="ctr">
              <a:gradFill>
                <a:gsLst>
                  <a:gs pos="0">
                    <a:schemeClr val="dk1">
                      <a:lumMod val="65000"/>
                      <a:lumOff val="35000"/>
                    </a:schemeClr>
                  </a:gs>
                  <a:gs pos="100000">
                    <a:schemeClr val="dk1">
                      <a:lumMod val="75000"/>
                      <a:lumOff val="25000"/>
                    </a:schemeClr>
                  </a:gs>
                </a:gsLst>
                <a:lin ang="5400000" scaled="0"/>
              </a:gradFill>
              <a:round/>
            </a:ln>
          </c:spPr>
        </c:majorGridlines>
        <c:majorTickMark val="none"/>
        <c:minorTickMark val="none"/>
        <c:tickLblPos val="nextTo"/>
        <c:spPr bwMode="auto">
          <a:prstGeom prst="rect">
            <a:avLst/>
          </a:prstGeom>
          <a:noFill/>
          <a:ln>
            <a:noFill/>
          </a:ln>
        </c:spPr>
        <c:txPr>
          <a:bodyPr/>
          <a:p>
            <a:pPr>
              <a:defRPr sz="900">
                <a:solidFill>
                  <a:schemeClr val="lt1">
                    <a:lumMod val="75000"/>
                  </a:schemeClr>
                </a:solidFill>
                <a:latin typeface="+mn-lt"/>
                <a:ea typeface="+mn-ea"/>
                <a:cs typeface="+mn-cs"/>
              </a:defRPr>
            </a:pPr>
            <a:endParaRPr/>
          </a:p>
        </c:txPr>
        <c:crossAx val="1866169476"/>
        <c:crosses val="autoZero"/>
        <c:auto val="1"/>
        <c:lblAlgn val="ctr"/>
        <c:lblOffset val="100"/>
        <c:noMultiLvlLbl val="0"/>
      </c:catAx>
      <c:valAx>
        <c:axId val="1866169476"/>
        <c:scaling>
          <c:orientation val="minMax"/>
        </c:scaling>
        <c:delete val="0"/>
        <c:axPos val="l"/>
        <c:majorGridlines>
          <c:spPr bwMode="auto">
            <a:prstGeom prst="rect">
              <a:avLst/>
            </a:prstGeom>
            <a:noFill/>
            <a:ln w="9525" cap="flat" cmpd="sng" algn="ctr">
              <a:gradFill>
                <a:gsLst>
                  <a:gs pos="0">
                    <a:schemeClr val="dk1">
                      <a:lumMod val="65000"/>
                      <a:lumOff val="35000"/>
                    </a:schemeClr>
                  </a:gs>
                  <a:gs pos="100000">
                    <a:schemeClr val="dk1">
                      <a:lumMod val="75000"/>
                      <a:lumOff val="25000"/>
                    </a:schemeClr>
                  </a:gs>
                </a:gsLst>
                <a:lin ang="5400000" scaled="0"/>
              </a:gradFill>
              <a:round/>
            </a:ln>
          </c:spPr>
        </c:majorGridlines>
        <c:numFmt formatCode="General" sourceLinked="1"/>
        <c:majorTickMark val="none"/>
        <c:minorTickMark val="none"/>
        <c:tickLblPos val="nextTo"/>
        <c:spPr bwMode="auto">
          <a:prstGeom prst="rect">
            <a:avLst/>
          </a:prstGeom>
          <a:noFill/>
          <a:ln>
            <a:noFill/>
          </a:ln>
        </c:spPr>
        <c:txPr>
          <a:bodyPr/>
          <a:p>
            <a:pPr>
              <a:defRPr sz="900">
                <a:solidFill>
                  <a:schemeClr val="lt1">
                    <a:lumMod val="75000"/>
                  </a:schemeClr>
                </a:solidFill>
                <a:latin typeface="+mn-lt"/>
                <a:ea typeface="+mn-ea"/>
                <a:cs typeface="+mn-cs"/>
              </a:defRPr>
            </a:pPr>
            <a:endParaRPr/>
          </a:p>
        </c:txPr>
        <c:crossAx val="1866169475"/>
        <c:crosses val="autoZero"/>
        <c:crossBetween val="between"/>
      </c:valAx>
      <c:spPr bwMode="auto">
        <a:prstGeom prst="rect">
          <a:avLst/>
        </a:prstGeom>
        <a:noFill/>
        <a:ln>
          <a:noFill/>
        </a:ln>
      </c:spPr>
    </c:plotArea>
    <c:plotVisOnly val="1"/>
    <c:dispBlanksAs val="gap"/>
    <c:showDLblsOverMax val="0"/>
  </c:chart>
  <c:spPr bwMode="auto">
    <a:xfrm rot="0">
      <a:off x="0" y="3638543"/>
      <a:ext cx="10258422" cy="4331973"/>
    </a:xfrm>
    <a:prstGeom prst="rect">
      <a:avLst/>
    </a:prstGeom>
    <a:solidFill>
      <a:schemeClr val="tx1"/>
    </a:solidFill>
    <a:ln w="9525" cap="flat" cmpd="sng" algn="ctr">
      <a:solidFill>
        <a:schemeClr val="dk1">
          <a:lumMod val="15000"/>
          <a:lumOff val="85000"/>
        </a:schemeClr>
      </a:solidFill>
      <a:round/>
    </a:ln>
  </c:spPr>
  <c:txPr>
    <a:bodyPr/>
    <a:p>
      <a:pPr>
        <a:defRPr sz="900">
          <a:solidFill>
            <a:schemeClr val="dk1"/>
          </a:solidFill>
          <a:latin typeface="+mn-lt"/>
          <a:ea typeface="+mn-ea"/>
          <a:cs typeface="+mn-cs"/>
        </a:defRPr>
      </a:pPr>
      <a:endParaRPr/>
    </a:p>
  </c:txPr>
  <c:printSettings>
    <c:headerFooter/>
    <c:pageMargins l="0.69999999999999996" r="0.69999999999999996" t="0.75" b="0.75" header="0.29999999999999999" footer="0.2999999999999999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layout/>
      <c:overlay val="0"/>
      <c:spPr bwMode="auto">
        <a:prstGeom prst="rect">
          <a:avLst/>
        </a:prstGeom>
        <a:noFill/>
        <a:ln>
          <a:noFill/>
        </a:ln>
      </c:spPr>
      <c:txPr>
        <a:bodyPr/>
        <a:p>
          <a:pPr>
            <a:defRPr sz="1600" b="1">
              <a:solidFill>
                <a:schemeClr val="bg1"/>
              </a:solidFill>
              <a:latin typeface="+mn-lt"/>
              <a:ea typeface="+mn-ea"/>
              <a:cs typeface="+mn-cs"/>
            </a:defRPr>
          </a:pPr>
          <a:endParaRPr/>
        </a:p>
      </c:txPr>
    </c:title>
    <c:autoTitleDeleted val="0"/>
    <c:plotArea>
      <c:layout>
        <c:manualLayout/>
      </c:layout>
      <c:doughnutChart>
        <c:varyColors val="1"/>
        <c:ser>
          <c:idx val="0"/>
          <c:order val="0"/>
          <c:tx>
            <c:strRef>
              <c:f>Sheet2!$B$7</c:f>
              <c:strCache>
                <c:ptCount val="1"/>
                <c:pt idx="0">
                  <c:v>Total Employees</c:v>
                </c:pt>
              </c:strCache>
            </c:strRef>
          </c:tx>
          <c:dPt>
            <c:idx val="0"/>
            <c:spPr bwMode="auto">
              <a:prstGeom prst="rect">
                <a:avLst/>
              </a:prstGeom>
              <a:gradFill>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c:spPr>
          </c:dPt>
          <c:dPt>
            <c:idx val="1"/>
            <c:spPr bwMode="auto">
              <a:prstGeom prst="rect">
                <a:avLst/>
              </a:prstGeom>
              <a:gradFill>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c:spPr>
          </c:dPt>
          <c:dPt>
            <c:idx val="2"/>
            <c:spPr bwMode="auto">
              <a:prstGeom prst="rect">
                <a:avLst/>
              </a:prstGeom>
              <a:gradFill>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c:spPr>
          </c:dPt>
          <c:dPt>
            <c:idx val="3"/>
            <c:spPr bwMode="auto">
              <a:prstGeom prst="rect">
                <a:avLst/>
              </a:prstGeom>
              <a:gradFill>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c:spPr>
          </c:dPt>
          <c:dPt>
            <c:idx val="4"/>
            <c:spPr bwMode="auto">
              <a:prstGeom prst="rect">
                <a:avLst/>
              </a:prstGeom>
              <a:gradFill>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c:spPr>
          </c:dPt>
          <c:dPt>
            <c:idx val="5"/>
            <c:spPr bwMode="auto">
              <a:prstGeom prst="rect">
                <a:avLst/>
              </a:prstGeom>
              <a:gradFill>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c:spPr>
          </c:dPt>
          <c:dLbls>
            <c:dLbl>
              <c:idx val="0"/>
              <c:layout/>
              <c:showBubbleSize val="0"/>
              <c:showCatName val="0"/>
              <c:showLegendKey val="0"/>
              <c:showPercent val="0"/>
              <c:showSerName val="0"/>
              <c:showVal val="0"/>
              <c:spPr bwMode="auto">
                <a:prstGeom prst="rect">
                  <a:avLst/>
                </a:prstGeom>
                <a:noFill/>
                <a:ln>
                  <a:noFill/>
                </a:ln>
              </c:spPr>
              <c:txPr>
                <a:bodyPr/>
                <a:p>
                  <a:pPr>
                    <a:defRPr sz="900">
                      <a:solidFill>
                        <a:schemeClr val="tx2"/>
                      </a:solidFill>
                      <a:latin typeface="+mn-lt"/>
                      <a:ea typeface="+mn-ea"/>
                      <a:cs typeface="+mn-cs"/>
                    </a:defRPr>
                  </a:pPr>
                  <a:endParaRPr/>
                </a:p>
              </c:txPr>
            </c:dLbl>
            <c:dLbl>
              <c:idx val="1"/>
              <c:layout/>
              <c:showBubbleSize val="0"/>
              <c:showCatName val="0"/>
              <c:showLegendKey val="0"/>
              <c:showPercent val="0"/>
              <c:showSerName val="0"/>
              <c:showVal val="0"/>
              <c:spPr bwMode="auto">
                <a:prstGeom prst="rect">
                  <a:avLst/>
                </a:prstGeom>
                <a:noFill/>
                <a:ln>
                  <a:noFill/>
                </a:ln>
              </c:spPr>
              <c:txPr>
                <a:bodyPr/>
                <a:p>
                  <a:pPr>
                    <a:defRPr sz="900">
                      <a:solidFill>
                        <a:schemeClr val="tx2"/>
                      </a:solidFill>
                      <a:latin typeface="+mn-lt"/>
                      <a:ea typeface="+mn-ea"/>
                      <a:cs typeface="+mn-cs"/>
                    </a:defRPr>
                  </a:pPr>
                  <a:endParaRPr/>
                </a:p>
              </c:txPr>
            </c:dLbl>
            <c:dLbl>
              <c:idx val="2"/>
              <c:layout/>
              <c:showBubbleSize val="0"/>
              <c:showCatName val="0"/>
              <c:showLegendKey val="0"/>
              <c:showPercent val="0"/>
              <c:showSerName val="0"/>
              <c:showVal val="0"/>
              <c:spPr bwMode="auto">
                <a:prstGeom prst="rect">
                  <a:avLst/>
                </a:prstGeom>
                <a:noFill/>
                <a:ln>
                  <a:noFill/>
                </a:ln>
              </c:spPr>
              <c:txPr>
                <a:bodyPr/>
                <a:p>
                  <a:pPr>
                    <a:defRPr sz="900">
                      <a:solidFill>
                        <a:schemeClr val="tx2"/>
                      </a:solidFill>
                      <a:latin typeface="+mn-lt"/>
                      <a:ea typeface="+mn-ea"/>
                      <a:cs typeface="+mn-cs"/>
                    </a:defRPr>
                  </a:pPr>
                  <a:endParaRPr/>
                </a:p>
              </c:txPr>
            </c:dLbl>
            <c:dLbl>
              <c:idx val="3"/>
              <c:layout/>
              <c:showBubbleSize val="0"/>
              <c:showCatName val="0"/>
              <c:showLegendKey val="0"/>
              <c:showPercent val="0"/>
              <c:showSerName val="0"/>
              <c:showVal val="0"/>
              <c:spPr bwMode="auto">
                <a:prstGeom prst="rect">
                  <a:avLst/>
                </a:prstGeom>
                <a:noFill/>
                <a:ln>
                  <a:noFill/>
                </a:ln>
              </c:spPr>
              <c:txPr>
                <a:bodyPr/>
                <a:p>
                  <a:pPr>
                    <a:defRPr sz="900">
                      <a:solidFill>
                        <a:schemeClr val="tx2"/>
                      </a:solidFill>
                      <a:latin typeface="+mn-lt"/>
                      <a:ea typeface="+mn-ea"/>
                      <a:cs typeface="+mn-cs"/>
                    </a:defRPr>
                  </a:pPr>
                  <a:endParaRPr/>
                </a:p>
              </c:txPr>
            </c:dLbl>
            <c:dLbl>
              <c:idx val="4"/>
              <c:layout/>
              <c:showBubbleSize val="0"/>
              <c:showCatName val="0"/>
              <c:showLegendKey val="0"/>
              <c:showPercent val="0"/>
              <c:showSerName val="0"/>
              <c:showVal val="0"/>
              <c:spPr bwMode="auto">
                <a:prstGeom prst="rect">
                  <a:avLst/>
                </a:prstGeom>
                <a:noFill/>
                <a:ln>
                  <a:noFill/>
                </a:ln>
              </c:spPr>
              <c:txPr>
                <a:bodyPr/>
                <a:p>
                  <a:pPr>
                    <a:defRPr sz="900">
                      <a:solidFill>
                        <a:schemeClr val="tx2"/>
                      </a:solidFill>
                      <a:latin typeface="+mn-lt"/>
                      <a:ea typeface="+mn-ea"/>
                      <a:cs typeface="+mn-cs"/>
                    </a:defRPr>
                  </a:pPr>
                  <a:endParaRPr/>
                </a:p>
              </c:txPr>
            </c:dLbl>
            <c:dLbl>
              <c:idx val="5"/>
              <c:layout/>
              <c:showBubbleSize val="0"/>
              <c:showCatName val="0"/>
              <c:showLegendKey val="0"/>
              <c:showPercent val="0"/>
              <c:showSerName val="0"/>
              <c:showVal val="0"/>
              <c:spPr bwMode="auto">
                <a:prstGeom prst="rect">
                  <a:avLst/>
                </a:prstGeom>
                <a:noFill/>
                <a:ln>
                  <a:noFill/>
                </a:ln>
              </c:spPr>
              <c:txPr>
                <a:bodyPr/>
                <a:p>
                  <a:pPr>
                    <a:defRPr sz="900">
                      <a:solidFill>
                        <a:schemeClr val="tx2"/>
                      </a:solidFill>
                      <a:latin typeface="+mn-lt"/>
                      <a:ea typeface="+mn-ea"/>
                      <a:cs typeface="+mn-cs"/>
                    </a:defRPr>
                  </a:pPr>
                  <a:endParaRPr/>
                </a:p>
              </c:txPr>
            </c:dLbl>
            <c:showBubbleSize val="0"/>
            <c:showCatName val="0"/>
            <c:showLeaderLines val="1"/>
            <c:showLegendKey val="0"/>
            <c:showPercent val="0"/>
            <c:showSerName val="0"/>
            <c:showVal val="0"/>
            <c:spPr bwMode="auto">
              <a:prstGeom prst="rect">
                <a:avLst/>
              </a:prstGeom>
              <a:noFill/>
              <a:ln>
                <a:noFill/>
              </a:ln>
            </c:spPr>
            <c:txPr>
              <a:bodyPr/>
              <a:p>
                <a:pPr>
                  <a:defRPr sz="900">
                    <a:solidFill>
                      <a:schemeClr val="tx2"/>
                    </a:solidFill>
                    <a:latin typeface="+mn-lt"/>
                    <a:ea typeface="+mn-ea"/>
                    <a:cs typeface="+mn-cs"/>
                  </a:defRPr>
                </a:pPr>
                <a:endParaRPr/>
              </a:p>
            </c:txPr>
          </c:dLbls>
          <c:cat>
            <c:strRef>
              <c:f>Sheet2!$A$8:$A$13</c:f>
              <c:strCache>
                <c:ptCount val="6"/>
                <c:pt idx="0">
                  <c:v>Finance</c:v>
                </c:pt>
                <c:pt idx="1">
                  <c:v>HR</c:v>
                </c:pt>
                <c:pt idx="2">
                  <c:v>IT</c:v>
                </c:pt>
                <c:pt idx="3">
                  <c:v>Managers</c:v>
                </c:pt>
                <c:pt idx="4">
                  <c:v>Operations</c:v>
                </c:pt>
                <c:pt idx="5">
                  <c:v>Sales</c:v>
                </c:pt>
              </c:strCache>
            </c:strRef>
          </c:cat>
          <c:val>
            <c:numRef>
              <c:f>Sheet2!$B$8:$B$13</c:f>
              <c:numCache>
                <c:formatCode>General</c:formatCode>
                <c:ptCount val="6"/>
                <c:pt idx="0">
                  <c:v>166</c:v>
                </c:pt>
                <c:pt idx="1">
                  <c:v>167</c:v>
                </c:pt>
                <c:pt idx="2">
                  <c:v>167</c:v>
                </c:pt>
                <c:pt idx="3">
                  <c:v>166</c:v>
                </c:pt>
                <c:pt idx="4">
                  <c:v>167</c:v>
                </c:pt>
                <c:pt idx="5">
                  <c:v>167</c:v>
                </c:pt>
              </c:numCache>
            </c:numRef>
          </c:val>
        </c:ser>
        <c:dLbls>
          <c:showBubbleSize val="0"/>
          <c:showCatName val="0"/>
          <c:showLeaderLines val="1"/>
          <c:showLegendKey val="0"/>
          <c:showPercent val="0"/>
          <c:showSerName val="0"/>
          <c:showVal val="0"/>
          <c:spPr bwMode="auto">
            <a:prstGeom prst="rect">
              <a:avLst/>
            </a:prstGeom>
            <a:noFill/>
            <a:ln>
              <a:noFill/>
            </a:ln>
          </c:spPr>
          <c:txPr>
            <a:bodyPr/>
            <a:p>
              <a:pPr>
                <a:defRPr sz="900">
                  <a:solidFill>
                    <a:schemeClr val="tx2"/>
                  </a:solidFill>
                  <a:latin typeface="+mn-lt"/>
                  <a:ea typeface="+mn-ea"/>
                  <a:cs typeface="+mn-cs"/>
                </a:defRPr>
              </a:pPr>
              <a:endParaRPr/>
            </a:p>
          </c:txPr>
        </c:dLbls>
        <c:firstSliceAng val="0"/>
        <c:holeSize val="75"/>
      </c:doughnutChart>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bg1"/>
              </a:solidFill>
              <a:latin typeface="+mn-lt"/>
              <a:ea typeface="+mn-ea"/>
              <a:cs typeface="+mn-cs"/>
            </a:defRPr>
          </a:pPr>
          <a:endParaRPr lang="en-US"/>
        </a:p>
      </c:txPr>
    </c:legend>
    <c:plotVisOnly val="1"/>
    <c:dispBlanksAs val="gap"/>
    <c:showDLblsOverMax val="0"/>
  </c:chart>
  <c:spPr bwMode="auto">
    <a:xfrm rot="0">
      <a:off x="6783702" y="771520"/>
      <a:ext cx="5726426" cy="2181223"/>
    </a:xfrm>
    <a:prstGeom prst="rect">
      <a:avLst/>
    </a:prstGeom>
    <a:solidFill>
      <a:srgbClr val="002060"/>
    </a:solidFill>
    <a:ln w="9525" cap="flat" cmpd="sng" algn="ctr">
      <a:solidFill>
        <a:schemeClr val="tx2">
          <a:lumMod val="15000"/>
          <a:lumOff val="85000"/>
        </a:schemeClr>
      </a:solidFill>
      <a:round/>
    </a:ln>
  </c:spPr>
  <c:txPr>
    <a:bodyPr/>
    <a:p>
      <a:pPr>
        <a:defRPr sz="900">
          <a:solidFill>
            <a:schemeClr val="tx2"/>
          </a:solidFill>
          <a:latin typeface="+mn-lt"/>
          <a:ea typeface="+mn-ea"/>
          <a:cs typeface="+mn-cs"/>
        </a:defRPr>
      </a:pPr>
      <a:endParaRP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cs:axisTitle>
  <cs:categoryAxis>
    <cs:lnRef idx="0"/>
    <cs:fillRef idx="0"/>
    <cs:effectRef idx="0"/>
    <cs:fontRef idx="minor">
      <a:schemeClr val="lt1">
        <a:lumMod val="75000"/>
      </a:schemeClr>
    </cs:fontRef>
    <cs:defRPr sz="900"/>
  </cs:categoryAxis>
  <cs:chartArea>
    <cs:lnRef idx="0"/>
    <cs:fillRef idx="0"/>
    <cs:effectRef idx="0"/>
    <cs:fontRef idx="minor">
      <a:schemeClr val="dk1"/>
    </cs:fontRef>
    <cs:spPr bwMode="auto">
      <a:prstGeom prst="rect">
        <a:avLst/>
      </a:prstGeom>
      <a:solidFill>
        <a:schemeClr val="dk1">
          <a:lumMod val="75000"/>
          <a:lumOff val="25000"/>
        </a:schemeClr>
      </a:solidFill>
      <a:ln w="9525" cap="flat" cmpd="sng" algn="ctr">
        <a:solidFill>
          <a:schemeClr val="dk1">
            <a:lumMod val="15000"/>
            <a:lumOff val="85000"/>
          </a:schemeClr>
        </a:solidFill>
        <a:round/>
      </a:ln>
    </cs:spPr>
    <cs:defRPr sz="900"/>
  </cs:chartArea>
  <cs:dataLabel>
    <cs:lnRef idx="0"/>
    <cs:fillRef idx="0"/>
    <cs:effectRef idx="0"/>
    <cs:fontRef idx="minor">
      <a:schemeClr val="lt1">
        <a:lumMod val="75000"/>
      </a:schemeClr>
    </cs:fontRef>
    <cs:defRPr sz="900"/>
  </cs:dataLabel>
  <cs:dataPoint>
    <cs:lnRef idx="0">
      <cs:styleClr val="auto"/>
    </cs:lnRef>
    <cs:fillRef idx="0"/>
    <cs:effectRef idx="0">
      <cs:styleClr val="auto"/>
    </cs:effectRef>
    <cs:fontRef idx="minor">
      <a:schemeClr val="dk1"/>
    </cs:fontRef>
    <cs:spPr bwMode="auto">
      <a:prstGeom prst="rect">
        <a:avLst/>
      </a:prstGeom>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bwMode="auto">
      <a:prstGeom prst="rect">
        <a:avLst/>
      </a:prstGeom>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bwMode="auto">
      <a:prstGeom prst="rect">
        <a:avLst/>
      </a:prstGeom>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bwMode="auto">
      <a:prstGeom prst="rect">
        <a:avLst/>
      </a:prstGeom>
      <a:solidFill>
        <a:schemeClr val="phClr">
          <a:lumMod val="60000"/>
          <a:lumOff val="40000"/>
        </a:schemeClr>
      </a:solidFill>
      <a:effectLst>
        <a:glow rad="63500">
          <a:schemeClr val="phClr">
            <a:satMod val="175000"/>
            <a:alpha val="25000"/>
          </a:schemeClr>
        </a:glow>
      </a:effectLst>
    </cs:spPr>
  </cs:dataPointMarker>
  <cs:dataPointWireframe>
    <cs:lnRef idx="0">
      <cs:styleClr val="auto"/>
    </cs:lnRef>
    <cs:fillRef idx="0"/>
    <cs:effectRef idx="0"/>
    <cs:fontRef idx="minor">
      <a:schemeClr val="dk1"/>
    </cs:fontRef>
    <cs:spPr bwMode="auto">
      <a:prstGeom prst="rect">
        <a:avLst/>
      </a:prstGeom>
      <a:ln w="9525" cap="rnd">
        <a:solidFill>
          <a:schemeClr val="phClr"/>
        </a:solidFill>
        <a:round/>
      </a:ln>
    </cs:spPr>
  </cs:dataPointWireframe>
  <cs:dataTable>
    <cs:lnRef idx="0"/>
    <cs:fillRef idx="0"/>
    <cs:effectRef idx="0"/>
    <cs:fontRef idx="minor">
      <a:schemeClr val="lt1">
        <a:lumMod val="75000"/>
      </a:schemeClr>
    </cs:fontRef>
    <cs:spPr bwMode="auto">
      <a:prstGeom prst="rect">
        <a:avLst/>
      </a:prstGeom>
      <a:ln w="9525">
        <a:solidFill>
          <a:schemeClr val="dk1">
            <a:lumMod val="50000"/>
            <a:lumOff val="50000"/>
          </a:schemeClr>
        </a:solidFill>
      </a:ln>
    </cs:spPr>
    <cs:defRPr sz="900"/>
  </cs:dataTable>
  <cs:downBar>
    <cs:lnRef idx="0"/>
    <cs:fillRef idx="0"/>
    <cs:effectRef idx="0"/>
    <cs:fontRef idx="minor">
      <a:schemeClr val="lt1"/>
    </cs:fontRef>
    <cs:spPr bwMode="auto">
      <a:prstGeom prst="rect">
        <a:avLst/>
      </a:prstGeom>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bwMode="auto">
      <a:prstGeom prst="rect">
        <a:avLst/>
      </a:prstGeom>
      <a:ln w="9525">
        <a:solidFill>
          <a:schemeClr val="lt1">
            <a:lumMod val="50000"/>
          </a:schemeClr>
        </a:solidFill>
        <a:round/>
      </a:ln>
    </cs:spPr>
  </cs:dropLine>
  <cs:errorBar>
    <cs:lnRef idx="0"/>
    <cs:fillRef idx="0"/>
    <cs:effectRef idx="0"/>
    <cs:fontRef idx="minor">
      <a:schemeClr val="dk1"/>
    </cs:fontRef>
    <cs:spPr bwMode="auto">
      <a:prstGeom prst="rect">
        <a:avLst/>
      </a:prstGeom>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bwMode="auto">
      <a:prstGeom prst="rect">
        <a:avLst/>
      </a:prstGeom>
      <a:ln w="9525" cap="flat" cmpd="sng" algn="ctr">
        <a:gradFill>
          <a:gsLst>
            <a:gs pos="0">
              <a:schemeClr val="dk1">
                <a:lumMod val="65000"/>
                <a:lumOff val="35000"/>
              </a:schemeClr>
            </a:gs>
            <a:gs pos="100000">
              <a:schemeClr val="dk1">
                <a:lumMod val="75000"/>
                <a:lumOff val="25000"/>
              </a:schemeClr>
            </a:gs>
          </a:gsLst>
          <a:lin ang="5400000" scaled="0"/>
        </a:gradFill>
        <a:round/>
      </a:ln>
    </cs:spPr>
  </cs:gridlineMajor>
  <cs:gridlineMinor>
    <cs:lnRef idx="0"/>
    <cs:fillRef idx="0"/>
    <cs:effectRef idx="0"/>
    <cs:fontRef idx="minor">
      <a:schemeClr val="dk1"/>
    </cs:fontRef>
    <cs:spPr bwMode="auto">
      <a:prstGeom prst="rect">
        <a:avLst/>
      </a:prstGeom>
      <a:ln w="9525" cap="flat" cmpd="sng" algn="ctr">
        <a:gradFill>
          <a:gsLst>
            <a:gs pos="0">
              <a:schemeClr val="dk1">
                <a:lumMod val="65000"/>
                <a:lumOff val="35000"/>
                <a:alpha val="25000"/>
              </a:schemeClr>
            </a:gs>
            <a:gs pos="100000">
              <a:schemeClr val="dk1">
                <a:lumMod val="75000"/>
                <a:lumOff val="25000"/>
                <a:alpha val="25000"/>
              </a:schemeClr>
            </a:gs>
          </a:gsLst>
          <a:lin ang="5400000" scaled="0"/>
        </a:gradFill>
        <a:round/>
      </a:ln>
    </cs:spPr>
  </cs:gridlineMinor>
  <cs:hiLoLine>
    <cs:lnRef idx="0"/>
    <cs:fillRef idx="0"/>
    <cs:effectRef idx="0"/>
    <cs:fontRef idx="minor">
      <a:schemeClr val="dk1"/>
    </cs:fontRef>
    <cs:spPr bwMode="auto">
      <a:prstGeom prst="rect">
        <a:avLst/>
      </a:prstGeom>
      <a:ln w="9525">
        <a:solidFill>
          <a:schemeClr val="lt1">
            <a:lumMod val="50000"/>
          </a:schemeClr>
        </a:solidFill>
        <a:round/>
      </a:ln>
    </cs:spPr>
  </cs:hiLoLine>
  <cs:leaderLine>
    <cs:lnRef idx="0"/>
    <cs:fillRef idx="0"/>
    <cs:effectRef idx="0"/>
    <cs:fontRef idx="minor">
      <a:schemeClr val="dk1"/>
    </cs:fontRef>
    <cs:spPr bwMode="auto">
      <a:prstGeom prst="rect">
        <a:avLst/>
      </a:prstGeom>
      <a:ln w="9525">
        <a:solidFill>
          <a:schemeClr val="lt1">
            <a:lumMod val="50000"/>
          </a:schemeClr>
        </a:solidFill>
        <a:round/>
      </a:ln>
    </cs:spPr>
  </cs:leaderLine>
  <cs:legend>
    <cs:lnRef idx="0"/>
    <cs:fillRef idx="0"/>
    <cs:effectRef idx="0"/>
    <cs:fontRef idx="minor">
      <a:schemeClr val="lt1">
        <a:lumMod val="75000"/>
      </a:schemeClr>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cs:seriesAxis>
  <cs:seriesLine>
    <cs:lnRef idx="0"/>
    <cs:fillRef idx="0"/>
    <cs:effectRef idx="0"/>
    <cs:fontRef idx="minor">
      <a:schemeClr val="dk1"/>
    </cs:fontRef>
    <cs:spPr bwMode="auto">
      <a:prstGeom prst="rect">
        <a:avLst/>
      </a:prstGeom>
      <a:ln w="9525">
        <a:solidFill>
          <a:schemeClr val="lt1">
            <a:lumMod val="50000"/>
          </a:schemeClr>
        </a:solidFill>
        <a:round/>
      </a:ln>
    </cs:spPr>
  </cs:seriesLine>
  <cs:title>
    <cs:lnRef idx="0"/>
    <cs:fillRef idx="0"/>
    <cs:effectRef idx="0"/>
    <cs:fontRef idx="minor">
      <a:schemeClr val="lt1">
        <a:lumMod val="85000"/>
      </a:schemeClr>
    </cs:fontRef>
    <cs:defRPr sz="1400" b="1" cap="none"/>
  </cs:title>
  <cs:trendline>
    <cs:lnRef idx="0">
      <cs:styleClr val="auto"/>
    </cs:lnRef>
    <cs:fillRef idx="0"/>
    <cs:effectRef idx="0"/>
    <cs:fontRef idx="minor">
      <a:schemeClr val="lt1"/>
    </cs:fontRef>
    <cs:spPr bwMode="auto">
      <a:prstGeom prst="rect">
        <a:avLst/>
      </a:prstGeom>
      <a:ln w="25400" cap="rnd">
        <a:solidFill>
          <a:schemeClr val="phClr">
            <a:alpha val="50000"/>
          </a:schemeClr>
        </a:solidFill>
      </a:ln>
    </cs:spPr>
  </cs:trendline>
  <cs:trendlineLabel>
    <cs:lnRef idx="0"/>
    <cs:fillRef idx="0"/>
    <cs:effectRef idx="0"/>
    <cs:fontRef idx="minor">
      <a:schemeClr val="lt1">
        <a:lumMod val="75000"/>
      </a:schemeClr>
    </cs:fontRef>
    <cs:defRPr sz="900"/>
  </cs:trendlineLabel>
  <cs:upBar>
    <cs:lnRef idx="0"/>
    <cs:fillRef idx="0"/>
    <cs:effectRef idx="0"/>
    <cs:fontRef idx="minor">
      <a:schemeClr val="dk1"/>
    </cs:fontRef>
    <cs:spPr bwMode="auto">
      <a:prstGeom prst="rect">
        <a:avLst/>
      </a:prstGeom>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cs:valueAxis>
  <cs:wall>
    <cs:lnRef idx="0"/>
    <cs:fillRef idx="0"/>
    <cs:effectRef idx="0"/>
    <cs:fontRef idx="minor">
      <a:schemeClr val="dk1"/>
    </cs:fontRef>
  </cs:wall>
  <cs:dataPointMarkerLayout symbol="circle" size="4"/>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cs:axisTitle>
  <cs:categoryAxis>
    <cs:lnRef idx="0"/>
    <cs:fillRef idx="0"/>
    <cs:effectRef idx="0"/>
    <cs:fontRef idx="minor">
      <a:schemeClr val="tx2"/>
    </cs:fontRef>
    <cs:spPr bwMode="auto">
      <a:prstGeom prst="rect">
        <a:avLst/>
      </a:prstGeom>
      <a:ln w="9525" cap="flat" cmpd="sng" algn="ctr">
        <a:solidFill>
          <a:schemeClr val="tx2">
            <a:lumMod val="15000"/>
            <a:lumOff val="85000"/>
          </a:schemeClr>
        </a:solidFill>
        <a:round/>
      </a:ln>
    </cs:spPr>
    <cs:defRPr sz="900"/>
  </cs:categoryAxis>
  <cs:chartArea>
    <cs:lnRef idx="0"/>
    <cs:fillRef idx="0"/>
    <cs:effectRef idx="0"/>
    <cs:fontRef idx="minor">
      <a:schemeClr val="tx2"/>
    </cs:fontRef>
    <cs:spPr bwMode="auto">
      <a:prstGeom prst="rect">
        <a:avLst/>
      </a:prstGeom>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bwMode="auto">
      <a:prstGeom prst="rect">
        <a:avLst/>
      </a:prstGeom>
      <a:ln w="31750" cap="rnd">
        <a:solidFill>
          <a:schemeClr val="phClr"/>
        </a:solidFill>
        <a:round/>
      </a:ln>
    </cs:spPr>
  </cs:dataPointLine>
  <cs:dataPointMarker>
    <cs:lnRef idx="0"/>
    <cs:fillRef idx="3">
      <cs:styleClr val="auto"/>
    </cs:fillRef>
    <cs:effectRef idx="2"/>
    <cs:fontRef idx="minor">
      <a:schemeClr val="tx2"/>
    </cs:fontRef>
    <cs:spPr bwMode="auto">
      <a:prstGeom prst="rect">
        <a:avLst/>
      </a:prstGeom>
      <a:ln w="12700">
        <a:solidFill>
          <a:schemeClr val="lt2"/>
        </a:solidFill>
        <a:round/>
      </a:ln>
    </cs:spPr>
  </cs:dataPointMarker>
  <cs:dataPointWireframe>
    <cs:lnRef idx="0">
      <cs:styleClr val="auto"/>
    </cs:lnRef>
    <cs:fillRef idx="3"/>
    <cs:effectRef idx="2"/>
    <cs:fontRef idx="minor">
      <a:schemeClr val="tx2"/>
    </cs:fontRef>
    <cs:spPr bwMode="auto">
      <a:prstGeom prst="rect">
        <a:avLst/>
      </a:prstGeom>
      <a:ln w="9525" cap="rnd">
        <a:solidFill>
          <a:schemeClr val="phClr"/>
        </a:solidFill>
        <a:round/>
      </a:ln>
    </cs:spPr>
  </cs:dataPointWireframe>
  <cs:dataTable>
    <cs:lnRef idx="0"/>
    <cs:fillRef idx="0"/>
    <cs:effectRef idx="0"/>
    <cs:fontRef idx="minor">
      <a:schemeClr val="tx2"/>
    </cs:fontRef>
    <cs:spPr bwMode="auto">
      <a:prstGeom prst="rect">
        <a:avLst/>
      </a:prstGeom>
      <a:ln w="9525">
        <a:solidFill>
          <a:schemeClr val="tx2">
            <a:lumMod val="15000"/>
            <a:lumOff val="85000"/>
          </a:schemeClr>
        </a:solidFill>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bwMode="auto">
      <a:prstGeom prst="rect">
        <a:avLst/>
      </a:prstGeom>
      <a:ln w="9525">
        <a:solidFill>
          <a:schemeClr val="tx2">
            <a:lumMod val="60000"/>
            <a:lumOff val="40000"/>
          </a:schemeClr>
        </a:solidFill>
        <a:prstDash val="dash"/>
      </a:ln>
    </cs:spPr>
  </cs:dropLine>
  <cs:errorBar>
    <cs:lnRef idx="0"/>
    <cs:fillRef idx="0"/>
    <cs:effectRef idx="0"/>
    <cs:fontRef idx="minor">
      <a:schemeClr val="tx2"/>
    </cs:fontRef>
    <cs:spPr bwMode="auto">
      <a:prstGeom prst="rect">
        <a:avLst/>
      </a:prstGeom>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bwMode="auto">
      <a:prstGeom prst="rect">
        <a:avLst/>
      </a:prstGeom>
      <a:ln w="9525" cap="flat" cmpd="sng" algn="ctr">
        <a:solidFill>
          <a:schemeClr val="tx2">
            <a:lumMod val="15000"/>
            <a:lumOff val="85000"/>
          </a:schemeClr>
        </a:solidFill>
        <a:round/>
      </a:ln>
    </cs:spPr>
  </cs:gridlineMajor>
  <cs:gridlineMinor>
    <cs:lnRef idx="0"/>
    <cs:fillRef idx="0"/>
    <cs:effectRef idx="0"/>
    <cs:fontRef idx="minor">
      <a:schemeClr val="tx2"/>
    </cs:fontRef>
    <cs:spPr bwMode="auto">
      <a:prstGeom prst="rect">
        <a:avLst/>
      </a:prstGeom>
      <a:ln>
        <a:solidFill>
          <a:schemeClr val="tx2">
            <a:lumMod val="5000"/>
            <a:lumOff val="95000"/>
          </a:schemeClr>
        </a:solidFill>
      </a:ln>
    </cs:spPr>
  </cs:gridlineMinor>
  <cs:hiLoLine>
    <cs:lnRef idx="0"/>
    <cs:fillRef idx="0"/>
    <cs:effectRef idx="0"/>
    <cs:fontRef idx="minor">
      <a:schemeClr val="tx2"/>
    </cs:fontRef>
    <cs:spPr bwMode="auto">
      <a:prstGeom prst="rect">
        <a:avLst/>
      </a:prstGeom>
      <a:ln w="9525">
        <a:solidFill>
          <a:schemeClr val="tx2">
            <a:lumMod val="60000"/>
            <a:lumOff val="40000"/>
          </a:schemeClr>
        </a:solidFill>
        <a:prstDash val="dash"/>
      </a:ln>
    </cs:spPr>
  </cs:hiLoLine>
  <cs:leaderLine>
    <cs:lnRef idx="0"/>
    <cs:fillRef idx="0"/>
    <cs:effectRef idx="0"/>
    <cs:fontRef idx="minor">
      <a:schemeClr val="tx2"/>
    </cs:fontRef>
    <cs:spPr bwMode="auto">
      <a:prstGeom prst="rect">
        <a:avLst/>
      </a:prstGeom>
      <a:ln w="9525">
        <a:solidFill>
          <a:schemeClr val="tx2">
            <a:lumMod val="35000"/>
            <a:lumOff val="65000"/>
          </a:schemeClr>
        </a:solidFill>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bwMode="auto">
      <a:prstGeom prst="rect">
        <a:avLst/>
      </a:prstGeom>
      <a:ln w="9525" cap="flat" cmpd="sng" algn="ctr">
        <a:solidFill>
          <a:schemeClr val="tx2">
            <a:lumMod val="15000"/>
            <a:lumOff val="85000"/>
          </a:schemeClr>
        </a:solidFill>
        <a:round/>
      </a:ln>
    </cs:spPr>
    <cs:defRPr sz="900"/>
  </cs:seriesAxis>
  <cs:seriesLine>
    <cs:lnRef idx="0"/>
    <cs:fillRef idx="0"/>
    <cs:effectRef idx="0"/>
    <cs:fontRef idx="minor">
      <a:schemeClr val="tx2"/>
    </cs:fontRef>
    <cs:spPr bwMode="auto">
      <a:prstGeom prst="rect">
        <a:avLst/>
      </a:prstGeom>
      <a:ln w="9525">
        <a:solidFill>
          <a:schemeClr val="tx2">
            <a:lumMod val="60000"/>
            <a:lumOff val="40000"/>
          </a:schemeClr>
        </a:solidFill>
        <a:prstDash val="dash"/>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bwMode="auto">
      <a:prstGeom prst="rect">
        <a:avLst/>
      </a:prstGeom>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tx2"/>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dataPointMarkerLayout symbol="circle" size="6"/>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17</xdr:row>
      <xdr:rowOff>179063</xdr:rowOff>
    </xdr:from>
    <xdr:to>
      <xdr:col>13</xdr:col>
      <xdr:colOff>443861</xdr:colOff>
      <xdr:row>41</xdr:row>
      <xdr:rowOff>121916</xdr:rowOff>
    </xdr:to>
    <xdr:graphicFrame>
      <xdr:nvGraphicFramePr>
        <xdr:cNvPr id="1539408866" name=""/>
        <xdr:cNvGraphicFramePr>
          <a:graphicFrameLocks xmlns:a="http://schemas.openxmlformats.org/drawingml/2006/main"/>
        </xdr:cNvGraphicFramePr>
      </xdr:nvGraphicFramePr>
      <xdr:xfrm rot="0">
        <a:off x="0" y="3638543"/>
        <a:ext cx="10258422" cy="4331973"/>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absoluteAnchor>
    <xdr:pos x="3129914" y="1409698"/>
    <xdr:ext cx="3232781" cy="2133599"/>
    <mc:AlternateContent xmlns:mc="http://schemas.openxmlformats.org/markup-compatibility/2006">
      <mc:Choice xmlns:a14="http://schemas.microsoft.com/office/drawing/2010/main" Requires="a14">
        <xdr:graphicFrame>
          <xdr:nvGraphicFramePr>
            <xdr:cNvPr id="1211959018" name=""/>
            <xdr:cNvGraphicFramePr>
              <a:graphicFrameLocks xmlns:a="http://schemas.openxmlformats.org/drawingml/2006/main"/>
            </xdr:cNvGraphicFramePr>
          </xdr:nvGraphicFramePr>
          <xdr:xfrm rot="0" flipH="0" flipV="0">
            <a:off x="3129914" y="1409699"/>
            <a:ext cx="3232782" cy="2133599"/>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0911838" y="3124193"/>
    <xdr:ext cx="2335523" cy="3343269"/>
    <mc:AlternateContent xmlns:mc="http://schemas.openxmlformats.org/markup-compatibility/2006">
      <mc:Choice xmlns:a14="http://schemas.microsoft.com/office/drawing/2010/main" Requires="a14">
        <xdr:graphicFrame>
          <xdr:nvGraphicFramePr>
            <xdr:cNvPr id="165993441" name=""/>
            <xdr:cNvGraphicFramePr>
              <a:graphicFrameLocks xmlns:a="http://schemas.openxmlformats.org/drawingml/2006/main"/>
            </xdr:cNvGraphicFramePr>
          </xdr:nvGraphicFramePr>
          <xdr:xfrm rot="0" flipH="0" flipV="0">
            <a:off x="10911838" y="3124194"/>
            <a:ext cx="2335525" cy="3343270"/>
          </xdr:xfrm>
          <a:graphic>
            <a:graphicData uri="http://schemas.microsoft.com/office/drawing/2010/slicer">
              <sle:slicer xmlns:sle="http://schemas.microsoft.com/office/drawing/2010/slicer" name="Present Days"/>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twoCellAnchor editAs="twoCell">
    <xdr:from>
      <xdr:col>8</xdr:col>
      <xdr:colOff>17142</xdr:colOff>
      <xdr:row>2</xdr:row>
      <xdr:rowOff>55240</xdr:rowOff>
    </xdr:from>
    <xdr:to>
      <xdr:col>17</xdr:col>
      <xdr:colOff>257169</xdr:colOff>
      <xdr:row>14</xdr:row>
      <xdr:rowOff>41904</xdr:rowOff>
    </xdr:to>
    <xdr:graphicFrame>
      <xdr:nvGraphicFramePr>
        <xdr:cNvPr id="66947351" name=""/>
        <xdr:cNvGraphicFramePr>
          <a:graphicFrameLocks xmlns:a="http://schemas.openxmlformats.org/drawingml/2006/main"/>
        </xdr:cNvGraphicFramePr>
      </xdr:nvGraphicFramePr>
      <xdr:xfrm rot="0">
        <a:off x="6783702" y="771520"/>
        <a:ext cx="5726426" cy="2181223"/>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1000">
  <cacheSource type="worksheet">
    <worksheetSource name="Table1[]"/>
  </cacheSource>
  <cacheFields count="12">
    <cacheField name="Empl ID" numFmtId="0">
      <sharedItems containsSemiMixedTypes="0" containsString="0" containsNumber="1" containsInteger="1" minValue="1" maxValue="1000"/>
    </cacheField>
    <cacheField name="Empl Name" numFmtId="0">
      <sharedItems count="1000">
        <s v="Empl_1"/>
        <s v="Empl_2"/>
        <s v="Empl_3"/>
        <s v="Empl_4"/>
        <s v="Empl_5"/>
        <s v="Empl_6"/>
        <s v="Empl_7"/>
        <s v="Empl_8"/>
        <s v="Empl_9"/>
        <s v="Empl_10"/>
        <s v="Empl_11"/>
        <s v="Empl_12"/>
        <s v="Empl_13"/>
        <s v="Empl_14"/>
        <s v="Empl_15"/>
        <s v="Empl_16"/>
        <s v="Empl_17"/>
        <s v="Empl_18"/>
        <s v="Empl_19"/>
        <s v="Empl_20"/>
        <s v="Empl_21"/>
        <s v="Empl_22"/>
        <s v="Empl_23"/>
        <s v="Empl_24"/>
        <s v="Empl_25"/>
        <s v="Empl_26"/>
        <s v="Empl_27"/>
        <s v="Empl_28"/>
        <s v="Empl_29"/>
        <s v="Empl_30"/>
        <s v="Empl_31"/>
        <s v="Empl_32"/>
        <s v="Empl_33"/>
        <s v="Empl_34"/>
        <s v="Empl_35"/>
        <s v="Empl_36"/>
        <s v="Empl_37"/>
        <s v="Empl_38"/>
        <s v="Empl_39"/>
        <s v="Empl_40"/>
        <s v="Empl_41"/>
        <s v="Empl_42"/>
        <s v="Empl_43"/>
        <s v="Empl_44"/>
        <s v="Empl_45"/>
        <s v="Empl_46"/>
        <s v="Empl_47"/>
        <s v="Empl_48"/>
        <s v="Empl_49"/>
        <s v="Empl_50"/>
        <s v="Empl_51"/>
        <s v="Empl_52"/>
        <s v="Empl_53"/>
        <s v="Empl_54"/>
        <s v="Empl_55"/>
        <s v="Empl_56"/>
        <s v="Empl_57"/>
        <s v="Empl_58"/>
        <s v="Empl_59"/>
        <s v="Empl_60"/>
        <s v="Empl_61"/>
        <s v="Empl_62"/>
        <s v="Empl_63"/>
        <s v="Empl_64"/>
        <s v="Empl_65"/>
        <s v="Empl_66"/>
        <s v="Empl_67"/>
        <s v="Empl_68"/>
        <s v="Empl_69"/>
        <s v="Empl_70"/>
        <s v="Empl_71"/>
        <s v="Empl_72"/>
        <s v="Empl_73"/>
        <s v="Empl_74"/>
        <s v="Empl_75"/>
        <s v="Empl_76"/>
        <s v="Empl_77"/>
        <s v="Empl_78"/>
        <s v="Empl_79"/>
        <s v="Empl_80"/>
        <s v="Empl_81"/>
        <s v="Empl_82"/>
        <s v="Empl_83"/>
        <s v="Empl_84"/>
        <s v="Empl_85"/>
        <s v="Empl_86"/>
        <s v="Empl_87"/>
        <s v="Empl_88"/>
        <s v="Empl_89"/>
        <s v="Empl_90"/>
        <s v="Empl_91"/>
        <s v="Empl_92"/>
        <s v="Empl_93"/>
        <s v="Empl_94"/>
        <s v="Empl_95"/>
        <s v="Empl_96"/>
        <s v="Empl_97"/>
        <s v="Empl_98"/>
        <s v="Empl_99"/>
        <s v="Empl_100"/>
        <s v="Empl_101"/>
        <s v="Empl_102"/>
        <s v="Empl_103"/>
        <s v="Empl_104"/>
        <s v="Empl_105"/>
        <s v="Empl_106"/>
        <s v="Empl_107"/>
        <s v="Empl_108"/>
        <s v="Empl_109"/>
        <s v="Empl_110"/>
        <s v="Empl_111"/>
        <s v="Empl_112"/>
        <s v="Empl_113"/>
        <s v="Empl_114"/>
        <s v="Empl_115"/>
        <s v="Empl_116"/>
        <s v="Empl_117"/>
        <s v="Empl_118"/>
        <s v="Empl_119"/>
        <s v="Empl_120"/>
        <s v="Empl_121"/>
        <s v="Empl_122"/>
        <s v="Empl_123"/>
        <s v="Empl_124"/>
        <s v="Empl_125"/>
        <s v="Empl_126"/>
        <s v="Empl_127"/>
        <s v="Empl_128"/>
        <s v="Empl_129"/>
        <s v="Empl_130"/>
        <s v="Empl_131"/>
        <s v="Empl_132"/>
        <s v="Empl_133"/>
        <s v="Empl_134"/>
        <s v="Empl_135"/>
        <s v="Empl_136"/>
        <s v="Empl_137"/>
        <s v="Empl_138"/>
        <s v="Empl_139"/>
        <s v="Empl_140"/>
        <s v="Empl_141"/>
        <s v="Empl_142"/>
        <s v="Empl_143"/>
        <s v="Empl_144"/>
        <s v="Empl_145"/>
        <s v="Empl_146"/>
        <s v="Empl_147"/>
        <s v="Empl_148"/>
        <s v="Empl_149"/>
        <s v="Empl_150"/>
        <s v="Empl_151"/>
        <s v="Empl_152"/>
        <s v="Empl_153"/>
        <s v="Empl_154"/>
        <s v="Empl_155"/>
        <s v="Empl_156"/>
        <s v="Empl_157"/>
        <s v="Empl_158"/>
        <s v="Empl_159"/>
        <s v="Empl_160"/>
        <s v="Empl_161"/>
        <s v="Empl_162"/>
        <s v="Empl_163"/>
        <s v="Empl_164"/>
        <s v="Empl_165"/>
        <s v="Empl_166"/>
        <s v="Empl_167"/>
        <s v="Empl_168"/>
        <s v="Empl_169"/>
        <s v="Empl_170"/>
        <s v="Empl_171"/>
        <s v="Empl_172"/>
        <s v="Empl_173"/>
        <s v="Empl_174"/>
        <s v="Empl_175"/>
        <s v="Empl_176"/>
        <s v="Empl_177"/>
        <s v="Empl_178"/>
        <s v="Empl_179"/>
        <s v="Empl_180"/>
        <s v="Empl_181"/>
        <s v="Empl_182"/>
        <s v="Empl_183"/>
        <s v="Empl_184"/>
        <s v="Empl_185"/>
        <s v="Empl_186"/>
        <s v="Empl_187"/>
        <s v="Empl_188"/>
        <s v="Empl_189"/>
        <s v="Empl_190"/>
        <s v="Empl_191"/>
        <s v="Empl_192"/>
        <s v="Empl_193"/>
        <s v="Empl_194"/>
        <s v="Empl_195"/>
        <s v="Empl_196"/>
        <s v="Empl_197"/>
        <s v="Empl_198"/>
        <s v="Empl_199"/>
        <s v="Empl_200"/>
        <s v="Empl_201"/>
        <s v="Empl_202"/>
        <s v="Empl_203"/>
        <s v="Empl_204"/>
        <s v="Empl_205"/>
        <s v="Empl_206"/>
        <s v="Empl_207"/>
        <s v="Empl_208"/>
        <s v="Empl_209"/>
        <s v="Empl_210"/>
        <s v="Empl_211"/>
        <s v="Empl_212"/>
        <s v="Empl_213"/>
        <s v="Empl_214"/>
        <s v="Empl_215"/>
        <s v="Empl_216"/>
        <s v="Empl_217"/>
        <s v="Empl_218"/>
        <s v="Empl_219"/>
        <s v="Empl_220"/>
        <s v="Empl_221"/>
        <s v="Empl_222"/>
        <s v="Empl_223"/>
        <s v="Empl_224"/>
        <s v="Empl_225"/>
        <s v="Empl_226"/>
        <s v="Empl_227"/>
        <s v="Empl_228"/>
        <s v="Empl_229"/>
        <s v="Empl_230"/>
        <s v="Empl_231"/>
        <s v="Empl_232"/>
        <s v="Empl_233"/>
        <s v="Empl_234"/>
        <s v="Empl_235"/>
        <s v="Empl_236"/>
        <s v="Empl_237"/>
        <s v="Empl_238"/>
        <s v="Empl_239"/>
        <s v="Empl_240"/>
        <s v="Empl_241"/>
        <s v="Empl_242"/>
        <s v="Empl_243"/>
        <s v="Empl_244"/>
        <s v="Empl_245"/>
        <s v="Empl_246"/>
        <s v="Empl_247"/>
        <s v="Empl_248"/>
        <s v="Empl_249"/>
        <s v="Empl_250"/>
        <s v="Empl_251"/>
        <s v="Empl_252"/>
        <s v="Empl_253"/>
        <s v="Empl_254"/>
        <s v="Empl_255"/>
        <s v="Empl_256"/>
        <s v="Empl_257"/>
        <s v="Empl_258"/>
        <s v="Empl_259"/>
        <s v="Empl_260"/>
        <s v="Empl_261"/>
        <s v="Empl_262"/>
        <s v="Empl_263"/>
        <s v="Empl_264"/>
        <s v="Empl_265"/>
        <s v="Empl_266"/>
        <s v="Empl_267"/>
        <s v="Empl_268"/>
        <s v="Empl_269"/>
        <s v="Empl_270"/>
        <s v="Empl_271"/>
        <s v="Empl_272"/>
        <s v="Empl_273"/>
        <s v="Empl_274"/>
        <s v="Empl_275"/>
        <s v="Empl_276"/>
        <s v="Empl_277"/>
        <s v="Empl_278"/>
        <s v="Empl_279"/>
        <s v="Empl_280"/>
        <s v="Empl_281"/>
        <s v="Empl_282"/>
        <s v="Empl_283"/>
        <s v="Empl_284"/>
        <s v="Empl_285"/>
        <s v="Empl_286"/>
        <s v="Empl_287"/>
        <s v="Empl_288"/>
        <s v="Empl_289"/>
        <s v="Empl_290"/>
        <s v="Empl_291"/>
        <s v="Empl_292"/>
        <s v="Empl_293"/>
        <s v="Empl_294"/>
        <s v="Empl_295"/>
        <s v="Empl_296"/>
        <s v="Empl_297"/>
        <s v="Empl_298"/>
        <s v="Empl_299"/>
        <s v="Empl_300"/>
        <s v="Empl_301"/>
        <s v="Empl_302"/>
        <s v="Empl_303"/>
        <s v="Empl_304"/>
        <s v="Empl_305"/>
        <s v="Empl_306"/>
        <s v="Empl_307"/>
        <s v="Empl_308"/>
        <s v="Empl_309"/>
        <s v="Empl_310"/>
        <s v="Empl_311"/>
        <s v="Empl_312"/>
        <s v="Empl_313"/>
        <s v="Empl_314"/>
        <s v="Empl_315"/>
        <s v="Empl_316"/>
        <s v="Empl_317"/>
        <s v="Empl_318"/>
        <s v="Empl_319"/>
        <s v="Empl_320"/>
        <s v="Empl_321"/>
        <s v="Empl_322"/>
        <s v="Empl_323"/>
        <s v="Empl_324"/>
        <s v="Empl_325"/>
        <s v="Empl_326"/>
        <s v="Empl_327"/>
        <s v="Empl_328"/>
        <s v="Empl_329"/>
        <s v="Empl_330"/>
        <s v="Empl_331"/>
        <s v="Empl_332"/>
        <s v="Empl_333"/>
        <s v="Empl_334"/>
        <s v="Empl_335"/>
        <s v="Empl_336"/>
        <s v="Empl_337"/>
        <s v="Empl_338"/>
        <s v="Empl_339"/>
        <s v="Empl_340"/>
        <s v="Empl_341"/>
        <s v="Empl_342"/>
        <s v="Empl_343"/>
        <s v="Empl_344"/>
        <s v="Empl_345"/>
        <s v="Empl_346"/>
        <s v="Empl_347"/>
        <s v="Empl_348"/>
        <s v="Empl_349"/>
        <s v="Empl_350"/>
        <s v="Empl_351"/>
        <s v="Empl_352"/>
        <s v="Empl_353"/>
        <s v="Empl_354"/>
        <s v="Empl_355"/>
        <s v="Empl_356"/>
        <s v="Empl_357"/>
        <s v="Empl_358"/>
        <s v="Empl_359"/>
        <s v="Empl_360"/>
        <s v="Empl_361"/>
        <s v="Empl_362"/>
        <s v="Empl_363"/>
        <s v="Empl_364"/>
        <s v="Empl_365"/>
        <s v="Empl_366"/>
        <s v="Empl_367"/>
        <s v="Empl_368"/>
        <s v="Empl_369"/>
        <s v="Empl_370"/>
        <s v="Empl_371"/>
        <s v="Empl_372"/>
        <s v="Empl_373"/>
        <s v="Empl_374"/>
        <s v="Empl_375"/>
        <s v="Empl_376"/>
        <s v="Empl_377"/>
        <s v="Empl_378"/>
        <s v="Empl_379"/>
        <s v="Empl_380"/>
        <s v="Empl_381"/>
        <s v="Empl_382"/>
        <s v="Empl_383"/>
        <s v="Empl_384"/>
        <s v="Empl_385"/>
        <s v="Empl_386"/>
        <s v="Empl_387"/>
        <s v="Empl_388"/>
        <s v="Empl_389"/>
        <s v="Empl_390"/>
        <s v="Empl_391"/>
        <s v="Empl_392"/>
        <s v="Empl_393"/>
        <s v="Empl_394"/>
        <s v="Empl_395"/>
        <s v="Empl_396"/>
        <s v="Empl_397"/>
        <s v="Empl_398"/>
        <s v="Empl_399"/>
        <s v="Empl_400"/>
        <s v="Empl_401"/>
        <s v="Empl_402"/>
        <s v="Empl_403"/>
        <s v="Empl_404"/>
        <s v="Empl_405"/>
        <s v="Empl_406"/>
        <s v="Empl_407"/>
        <s v="Empl_408"/>
        <s v="Empl_409"/>
        <s v="Empl_410"/>
        <s v="Empl_411"/>
        <s v="Empl_412"/>
        <s v="Empl_413"/>
        <s v="Empl_414"/>
        <s v="Empl_415"/>
        <s v="Empl_416"/>
        <s v="Empl_417"/>
        <s v="Empl_418"/>
        <s v="Empl_419"/>
        <s v="Empl_420"/>
        <s v="Empl_421"/>
        <s v="Empl_422"/>
        <s v="Empl_423"/>
        <s v="Empl_424"/>
        <s v="Empl_425"/>
        <s v="Empl_426"/>
        <s v="Empl_427"/>
        <s v="Empl_428"/>
        <s v="Empl_429"/>
        <s v="Empl_430"/>
        <s v="Empl_431"/>
        <s v="Empl_432"/>
        <s v="Empl_433"/>
        <s v="Empl_434"/>
        <s v="Empl_435"/>
        <s v="Empl_436"/>
        <s v="Empl_437"/>
        <s v="Empl_438"/>
        <s v="Empl_439"/>
        <s v="Empl_440"/>
        <s v="Empl_441"/>
        <s v="Empl_442"/>
        <s v="Empl_443"/>
        <s v="Empl_444"/>
        <s v="Empl_445"/>
        <s v="Empl_446"/>
        <s v="Empl_447"/>
        <s v="Empl_448"/>
        <s v="Empl_449"/>
        <s v="Empl_450"/>
        <s v="Empl_451"/>
        <s v="Empl_452"/>
        <s v="Empl_453"/>
        <s v="Empl_454"/>
        <s v="Empl_455"/>
        <s v="Empl_456"/>
        <s v="Empl_457"/>
        <s v="Empl_458"/>
        <s v="Empl_459"/>
        <s v="Empl_460"/>
        <s v="Empl_461"/>
        <s v="Empl_462"/>
        <s v="Empl_463"/>
        <s v="Empl_464"/>
        <s v="Empl_465"/>
        <s v="Empl_466"/>
        <s v="Empl_467"/>
        <s v="Empl_468"/>
        <s v="Empl_469"/>
        <s v="Empl_470"/>
        <s v="Empl_471"/>
        <s v="Empl_472"/>
        <s v="Empl_473"/>
        <s v="Empl_474"/>
        <s v="Empl_475"/>
        <s v="Empl_476"/>
        <s v="Empl_477"/>
        <s v="Empl_478"/>
        <s v="Empl_479"/>
        <s v="Empl_480"/>
        <s v="Empl_481"/>
        <s v="Empl_482"/>
        <s v="Empl_483"/>
        <s v="Empl_484"/>
        <s v="Empl_485"/>
        <s v="Empl_486"/>
        <s v="Empl_487"/>
        <s v="Empl_488"/>
        <s v="Empl_489"/>
        <s v="Empl_490"/>
        <s v="Empl_491"/>
        <s v="Empl_492"/>
        <s v="Empl_493"/>
        <s v="Empl_494"/>
        <s v="Empl_495"/>
        <s v="Empl_496"/>
        <s v="Empl_497"/>
        <s v="Empl_498"/>
        <s v="Empl_499"/>
        <s v="Empl_500"/>
        <s v="Empl_501"/>
        <s v="Empl_502"/>
        <s v="Empl_503"/>
        <s v="Empl_504"/>
        <s v="Empl_505"/>
        <s v="Empl_506"/>
        <s v="Empl_507"/>
        <s v="Empl_508"/>
        <s v="Empl_509"/>
        <s v="Empl_510"/>
        <s v="Empl_511"/>
        <s v="Empl_512"/>
        <s v="Empl_513"/>
        <s v="Empl_514"/>
        <s v="Empl_515"/>
        <s v="Empl_516"/>
        <s v="Empl_517"/>
        <s v="Empl_518"/>
        <s v="Empl_519"/>
        <s v="Empl_520"/>
        <s v="Empl_521"/>
        <s v="Empl_522"/>
        <s v="Empl_523"/>
        <s v="Empl_524"/>
        <s v="Empl_525"/>
        <s v="Empl_526"/>
        <s v="Empl_527"/>
        <s v="Empl_528"/>
        <s v="Empl_529"/>
        <s v="Empl_530"/>
        <s v="Empl_531"/>
        <s v="Empl_532"/>
        <s v="Empl_533"/>
        <s v="Empl_534"/>
        <s v="Empl_535"/>
        <s v="Empl_536"/>
        <s v="Empl_537"/>
        <s v="Empl_538"/>
        <s v="Empl_539"/>
        <s v="Empl_540"/>
        <s v="Empl_541"/>
        <s v="Empl_542"/>
        <s v="Empl_543"/>
        <s v="Empl_544"/>
        <s v="Empl_545"/>
        <s v="Empl_546"/>
        <s v="Empl_547"/>
        <s v="Empl_548"/>
        <s v="Empl_549"/>
        <s v="Empl_550"/>
        <s v="Empl_551"/>
        <s v="Empl_552"/>
        <s v="Empl_553"/>
        <s v="Empl_554"/>
        <s v="Empl_555"/>
        <s v="Empl_556"/>
        <s v="Empl_557"/>
        <s v="Empl_558"/>
        <s v="Empl_559"/>
        <s v="Empl_560"/>
        <s v="Empl_561"/>
        <s v="Empl_562"/>
        <s v="Empl_563"/>
        <s v="Empl_564"/>
        <s v="Empl_565"/>
        <s v="Empl_566"/>
        <s v="Empl_567"/>
        <s v="Empl_568"/>
        <s v="Empl_569"/>
        <s v="Empl_570"/>
        <s v="Empl_571"/>
        <s v="Empl_572"/>
        <s v="Empl_573"/>
        <s v="Empl_574"/>
        <s v="Empl_575"/>
        <s v="Empl_576"/>
        <s v="Empl_577"/>
        <s v="Empl_578"/>
        <s v="Empl_579"/>
        <s v="Empl_580"/>
        <s v="Empl_581"/>
        <s v="Empl_582"/>
        <s v="Empl_583"/>
        <s v="Empl_584"/>
        <s v="Empl_585"/>
        <s v="Empl_586"/>
        <s v="Empl_587"/>
        <s v="Empl_588"/>
        <s v="Empl_589"/>
        <s v="Empl_590"/>
        <s v="Empl_591"/>
        <s v="Empl_592"/>
        <s v="Empl_593"/>
        <s v="Empl_594"/>
        <s v="Empl_595"/>
        <s v="Empl_596"/>
        <s v="Empl_597"/>
        <s v="Empl_598"/>
        <s v="Empl_599"/>
        <s v="Empl_600"/>
        <s v="Empl_601"/>
        <s v="Empl_602"/>
        <s v="Empl_603"/>
        <s v="Empl_604"/>
        <s v="Empl_605"/>
        <s v="Empl_606"/>
        <s v="Empl_607"/>
        <s v="Empl_608"/>
        <s v="Empl_609"/>
        <s v="Empl_610"/>
        <s v="Empl_611"/>
        <s v="Empl_612"/>
        <s v="Empl_613"/>
        <s v="Empl_614"/>
        <s v="Empl_615"/>
        <s v="Empl_616"/>
        <s v="Empl_617"/>
        <s v="Empl_618"/>
        <s v="Empl_619"/>
        <s v="Empl_620"/>
        <s v="Empl_621"/>
        <s v="Empl_622"/>
        <s v="Empl_623"/>
        <s v="Empl_624"/>
        <s v="Empl_625"/>
        <s v="Empl_626"/>
        <s v="Empl_627"/>
        <s v="Empl_628"/>
        <s v="Empl_629"/>
        <s v="Empl_630"/>
        <s v="Empl_631"/>
        <s v="Empl_632"/>
        <s v="Empl_633"/>
        <s v="Empl_634"/>
        <s v="Empl_635"/>
        <s v="Empl_636"/>
        <s v="Empl_637"/>
        <s v="Empl_638"/>
        <s v="Empl_639"/>
        <s v="Empl_640"/>
        <s v="Empl_641"/>
        <s v="Empl_642"/>
        <s v="Empl_643"/>
        <s v="Empl_644"/>
        <s v="Empl_645"/>
        <s v="Empl_646"/>
        <s v="Empl_647"/>
        <s v="Empl_648"/>
        <s v="Empl_649"/>
        <s v="Empl_650"/>
        <s v="Empl_651"/>
        <s v="Empl_652"/>
        <s v="Empl_653"/>
        <s v="Empl_654"/>
        <s v="Empl_655"/>
        <s v="Empl_656"/>
        <s v="Empl_657"/>
        <s v="Empl_658"/>
        <s v="Empl_659"/>
        <s v="Empl_660"/>
        <s v="Empl_661"/>
        <s v="Empl_662"/>
        <s v="Empl_663"/>
        <s v="Empl_664"/>
        <s v="Empl_665"/>
        <s v="Empl_666"/>
        <s v="Empl_667"/>
        <s v="Empl_668"/>
        <s v="Empl_669"/>
        <s v="Empl_670"/>
        <s v="Empl_671"/>
        <s v="Empl_672"/>
        <s v="Empl_673"/>
        <s v="Empl_674"/>
        <s v="Empl_675"/>
        <s v="Empl_676"/>
        <s v="Empl_677"/>
        <s v="Empl_678"/>
        <s v="Empl_679"/>
        <s v="Empl_680"/>
        <s v="Empl_681"/>
        <s v="Empl_682"/>
        <s v="Empl_683"/>
        <s v="Empl_684"/>
        <s v="Empl_685"/>
        <s v="Empl_686"/>
        <s v="Empl_687"/>
        <s v="Empl_688"/>
        <s v="Empl_689"/>
        <s v="Empl_690"/>
        <s v="Empl_691"/>
        <s v="Empl_692"/>
        <s v="Empl_693"/>
        <s v="Empl_694"/>
        <s v="Empl_695"/>
        <s v="Empl_696"/>
        <s v="Empl_697"/>
        <s v="Empl_698"/>
        <s v="Empl_699"/>
        <s v="Empl_700"/>
        <s v="Empl_701"/>
        <s v="Empl_702"/>
        <s v="Empl_703"/>
        <s v="Empl_704"/>
        <s v="Empl_705"/>
        <s v="Empl_706"/>
        <s v="Empl_707"/>
        <s v="Empl_708"/>
        <s v="Empl_709"/>
        <s v="Empl_710"/>
        <s v="Empl_711"/>
        <s v="Empl_712"/>
        <s v="Empl_713"/>
        <s v="Empl_714"/>
        <s v="Empl_715"/>
        <s v="Empl_716"/>
        <s v="Empl_717"/>
        <s v="Empl_718"/>
        <s v="Empl_719"/>
        <s v="Empl_720"/>
        <s v="Empl_721"/>
        <s v="Empl_722"/>
        <s v="Empl_723"/>
        <s v="Empl_724"/>
        <s v="Empl_725"/>
        <s v="Empl_726"/>
        <s v="Empl_727"/>
        <s v="Empl_728"/>
        <s v="Empl_729"/>
        <s v="Empl_730"/>
        <s v="Empl_731"/>
        <s v="Empl_732"/>
        <s v="Empl_733"/>
        <s v="Empl_734"/>
        <s v="Empl_735"/>
        <s v="Empl_736"/>
        <s v="Empl_737"/>
        <s v="Empl_738"/>
        <s v="Empl_739"/>
        <s v="Empl_740"/>
        <s v="Empl_741"/>
        <s v="Empl_742"/>
        <s v="Empl_743"/>
        <s v="Empl_744"/>
        <s v="Empl_745"/>
        <s v="Empl_746"/>
        <s v="Empl_747"/>
        <s v="Empl_748"/>
        <s v="Empl_749"/>
        <s v="Empl_750"/>
        <s v="Empl_751"/>
        <s v="Empl_752"/>
        <s v="Empl_753"/>
        <s v="Empl_754"/>
        <s v="Empl_755"/>
        <s v="Empl_756"/>
        <s v="Empl_757"/>
        <s v="Empl_758"/>
        <s v="Empl_759"/>
        <s v="Empl_760"/>
        <s v="Empl_761"/>
        <s v="Empl_762"/>
        <s v="Empl_763"/>
        <s v="Empl_764"/>
        <s v="Empl_765"/>
        <s v="Empl_766"/>
        <s v="Empl_767"/>
        <s v="Empl_768"/>
        <s v="Empl_769"/>
        <s v="Empl_770"/>
        <s v="Empl_771"/>
        <s v="Empl_772"/>
        <s v="Empl_773"/>
        <s v="Empl_774"/>
        <s v="Empl_775"/>
        <s v="Empl_776"/>
        <s v="Empl_777"/>
        <s v="Empl_778"/>
        <s v="Empl_779"/>
        <s v="Empl_780"/>
        <s v="Empl_781"/>
        <s v="Empl_782"/>
        <s v="Empl_783"/>
        <s v="Empl_784"/>
        <s v="Empl_785"/>
        <s v="Empl_786"/>
        <s v="Empl_787"/>
        <s v="Empl_788"/>
        <s v="Empl_789"/>
        <s v="Empl_790"/>
        <s v="Empl_791"/>
        <s v="Empl_792"/>
        <s v="Empl_793"/>
        <s v="Empl_794"/>
        <s v="Empl_795"/>
        <s v="Empl_796"/>
        <s v="Empl_797"/>
        <s v="Empl_798"/>
        <s v="Empl_799"/>
        <s v="Empl_800"/>
        <s v="Empl_801"/>
        <s v="Empl_802"/>
        <s v="Empl_803"/>
        <s v="Empl_804"/>
        <s v="Empl_805"/>
        <s v="Empl_806"/>
        <s v="Empl_807"/>
        <s v="Empl_808"/>
        <s v="Empl_809"/>
        <s v="Empl_810"/>
        <s v="Empl_811"/>
        <s v="Empl_812"/>
        <s v="Empl_813"/>
        <s v="Empl_814"/>
        <s v="Empl_815"/>
        <s v="Empl_816"/>
        <s v="Empl_817"/>
        <s v="Empl_818"/>
        <s v="Empl_819"/>
        <s v="Empl_820"/>
        <s v="Empl_821"/>
        <s v="Empl_822"/>
        <s v="Empl_823"/>
        <s v="Empl_824"/>
        <s v="Empl_825"/>
        <s v="Empl_826"/>
        <s v="Empl_827"/>
        <s v="Empl_828"/>
        <s v="Empl_829"/>
        <s v="Empl_830"/>
        <s v="Empl_831"/>
        <s v="Empl_832"/>
        <s v="Empl_833"/>
        <s v="Empl_834"/>
        <s v="Empl_835"/>
        <s v="Empl_836"/>
        <s v="Empl_837"/>
        <s v="Empl_838"/>
        <s v="Empl_839"/>
        <s v="Empl_840"/>
        <s v="Empl_841"/>
        <s v="Empl_842"/>
        <s v="Empl_843"/>
        <s v="Empl_844"/>
        <s v="Empl_845"/>
        <s v="Empl_846"/>
        <s v="Empl_847"/>
        <s v="Empl_848"/>
        <s v="Empl_849"/>
        <s v="Empl_850"/>
        <s v="Empl_851"/>
        <s v="Empl_852"/>
        <s v="Empl_853"/>
        <s v="Empl_854"/>
        <s v="Empl_855"/>
        <s v="Empl_856"/>
        <s v="Empl_857"/>
        <s v="Empl_858"/>
        <s v="Empl_859"/>
        <s v="Empl_860"/>
        <s v="Empl_861"/>
        <s v="Empl_862"/>
        <s v="Empl_863"/>
        <s v="Empl_864"/>
        <s v="Empl_865"/>
        <s v="Empl_866"/>
        <s v="Empl_867"/>
        <s v="Empl_868"/>
        <s v="Empl_869"/>
        <s v="Empl_870"/>
        <s v="Empl_871"/>
        <s v="Empl_872"/>
        <s v="Empl_873"/>
        <s v="Empl_874"/>
        <s v="Empl_875"/>
        <s v="Empl_876"/>
        <s v="Empl_877"/>
        <s v="Empl_878"/>
        <s v="Empl_879"/>
        <s v="Empl_880"/>
        <s v="Empl_881"/>
        <s v="Empl_882"/>
        <s v="Empl_883"/>
        <s v="Empl_884"/>
        <s v="Empl_885"/>
        <s v="Empl_886"/>
        <s v="Empl_887"/>
        <s v="Empl_888"/>
        <s v="Empl_889"/>
        <s v="Empl_890"/>
        <s v="Empl_891"/>
        <s v="Empl_892"/>
        <s v="Empl_893"/>
        <s v="Empl_894"/>
        <s v="Empl_895"/>
        <s v="Empl_896"/>
        <s v="Empl_897"/>
        <s v="Empl_898"/>
        <s v="Empl_899"/>
        <s v="Empl_900"/>
        <s v="Empl_901"/>
        <s v="Empl_902"/>
        <s v="Empl_903"/>
        <s v="Empl_904"/>
        <s v="Empl_905"/>
        <s v="Empl_906"/>
        <s v="Empl_907"/>
        <s v="Empl_908"/>
        <s v="Empl_909"/>
        <s v="Empl_910"/>
        <s v="Empl_911"/>
        <s v="Empl_912"/>
        <s v="Empl_913"/>
        <s v="Empl_914"/>
        <s v="Empl_915"/>
        <s v="Empl_916"/>
        <s v="Empl_917"/>
        <s v="Empl_918"/>
        <s v="Empl_919"/>
        <s v="Empl_920"/>
        <s v="Empl_921"/>
        <s v="Empl_922"/>
        <s v="Empl_923"/>
        <s v="Empl_924"/>
        <s v="Empl_925"/>
        <s v="Empl_926"/>
        <s v="Empl_927"/>
        <s v="Empl_928"/>
        <s v="Empl_929"/>
        <s v="Empl_930"/>
        <s v="Empl_931"/>
        <s v="Empl_932"/>
        <s v="Empl_933"/>
        <s v="Empl_934"/>
        <s v="Empl_935"/>
        <s v="Empl_936"/>
        <s v="Empl_937"/>
        <s v="Empl_938"/>
        <s v="Empl_939"/>
        <s v="Empl_940"/>
        <s v="Empl_941"/>
        <s v="Empl_942"/>
        <s v="Empl_943"/>
        <s v="Empl_944"/>
        <s v="Empl_945"/>
        <s v="Empl_946"/>
        <s v="Empl_947"/>
        <s v="Empl_948"/>
        <s v="Empl_949"/>
        <s v="Empl_950"/>
        <s v="Empl_951"/>
        <s v="Empl_952"/>
        <s v="Empl_953"/>
        <s v="Empl_954"/>
        <s v="Empl_955"/>
        <s v="Empl_956"/>
        <s v="Empl_957"/>
        <s v="Empl_958"/>
        <s v="Empl_959"/>
        <s v="Empl_960"/>
        <s v="Empl_961"/>
        <s v="Empl_962"/>
        <s v="Empl_963"/>
        <s v="Empl_964"/>
        <s v="Empl_965"/>
        <s v="Empl_966"/>
        <s v="Empl_967"/>
        <s v="Empl_968"/>
        <s v="Empl_969"/>
        <s v="Empl_970"/>
        <s v="Empl_971"/>
        <s v="Empl_972"/>
        <s v="Empl_973"/>
        <s v="Empl_974"/>
        <s v="Empl_975"/>
        <s v="Empl_976"/>
        <s v="Empl_977"/>
        <s v="Empl_978"/>
        <s v="Empl_979"/>
        <s v="Empl_980"/>
        <s v="Empl_981"/>
        <s v="Empl_982"/>
        <s v="Empl_983"/>
        <s v="Empl_984"/>
        <s v="Empl_985"/>
        <s v="Empl_986"/>
        <s v="Empl_987"/>
        <s v="Empl_988"/>
        <s v="Empl_989"/>
        <s v="Empl_990"/>
        <s v="Empl_991"/>
        <s v="Empl_992"/>
        <s v="Empl_993"/>
        <s v="Empl_994"/>
        <s v="Empl_995"/>
        <s v="Empl_996"/>
        <s v="Empl_997"/>
        <s v="Empl_998"/>
        <s v="Empl_999"/>
        <s v="Empl_1000"/>
      </sharedItems>
    </cacheField>
    <cacheField name="Department" numFmtId="0">
      <sharedItems count="6">
        <s v="Operations"/>
        <s v="IT"/>
        <s v="Sales"/>
        <s v="HR"/>
        <s v="Managers"/>
        <s v="Finance"/>
      </sharedItems>
    </cacheField>
    <cacheField name="Monthly Basic Salary" numFmtId="0">
      <sharedItems containsSemiMixedTypes="0" containsString="0" containsNumber="1" containsInteger="1" minValue="15000" maxValue="60000"/>
    </cacheField>
    <cacheField name="Total Month Days" numFmtId="0">
      <sharedItems containsSemiMixedTypes="0" containsString="0" containsNumber="1" containsInteger="1" minValue="30" maxValue="30"/>
    </cacheField>
    <cacheField name="Present Days" numFmtId="0">
      <sharedItems containsSemiMixedTypes="0" containsString="0" containsNumber="1" containsInteger="1" minValue="20" maxValue="30" count="11">
        <n v="20"/>
        <n v="30"/>
        <n v="24"/>
        <n v="21"/>
        <n v="23"/>
        <n v="27"/>
        <n v="29"/>
        <n v="26"/>
        <n v="22"/>
        <n v="28"/>
        <n v="25"/>
      </sharedItems>
    </cacheField>
    <cacheField name="Absent Days" numFmtId="0">
      <sharedItems containsSemiMixedTypes="0" containsString="0" containsNumber="1" containsInteger="1" minValue="0" maxValue="10"/>
    </cacheField>
    <cacheField name="Per Day Salary" numFmtId="1">
      <sharedItems containsSemiMixedTypes="0" containsString="0" containsNumber="1" minValue="500" maxValue="3000"/>
    </cacheField>
    <cacheField name="Earned Salary" numFmtId="1">
      <sharedItems containsSemiMixedTypes="0" containsString="0" containsNumber="1" minValue="14999.999999999998" maxValue="60000.00000000001"/>
    </cacheField>
    <cacheField name="PF Deduction (12%)" numFmtId="0">
      <sharedItems containsSemiMixedTypes="0" containsString="0" containsNumber="1" minValue="1799.9999999999998" maxValue="7200.000000000001"/>
    </cacheField>
    <cacheField name="ESI Dedction (0.75%)" numFmtId="1">
      <sharedItems containsSemiMixedTypes="0" containsString="0" containsNumber="1" minValue="112.49999999999999" maxValue="450.00000000000006"/>
    </cacheField>
    <cacheField name="Net Payable Salary" numFmtId="1">
      <sharedItems containsSemiMixedTypes="0" containsString="0" containsNumber="1" minValue="13087.499999999998" maxValue="52350.00000000001"/>
    </cacheField>
  </cacheFields>
  <extLst>
    <ext xmlns:x14="http://schemas.microsoft.com/office/spreadsheetml/2009/9/main" uri="{725AE2AE-9491-48be-B2B4-4EB974FC3084}">
      <x14:pivotCacheDefinition pivotCacheId="491422091"/>
    </ext>
  </extLst>
</pivotCacheDefinition>
</file>

<file path=xl/pivotCache/pivotCacheRecords1.xml><?xml version="1.0" encoding="utf-8"?>
<pivotCacheRecords xmlns="http://schemas.openxmlformats.org/spreadsheetml/2006/main" xmlns:r="http://schemas.openxmlformats.org/officeDocument/2006/relationships" count="1000">
  <r>
    <n v="1"/>
    <x v="0"/>
    <x v="0"/>
    <n v="60000"/>
    <n v="30"/>
    <x v="0"/>
    <n v="10"/>
    <n v="3000"/>
    <n v="60000"/>
    <n v="7200"/>
    <n v="450"/>
    <n v="52350"/>
  </r>
  <r>
    <n v="2"/>
    <x v="1"/>
    <x v="1"/>
    <n v="33000"/>
    <n v="30"/>
    <x v="1"/>
    <n v="0"/>
    <n v="1100"/>
    <n v="33000"/>
    <n v="3960"/>
    <n v="247.5"/>
    <n v="28792.5"/>
  </r>
  <r>
    <n v="3"/>
    <x v="2"/>
    <x v="2"/>
    <n v="43000"/>
    <n v="30"/>
    <x v="2"/>
    <n v="6"/>
    <n v="1791.6666666666667"/>
    <n v="43000"/>
    <n v="5160"/>
    <n v="322.5"/>
    <n v="37517.5"/>
  </r>
  <r>
    <n v="4"/>
    <x v="3"/>
    <x v="3"/>
    <n v="59000"/>
    <n v="30"/>
    <x v="3"/>
    <n v="9"/>
    <n v="2809.5238095238096"/>
    <n v="59000"/>
    <n v="7080"/>
    <n v="442.5"/>
    <n v="51477.5"/>
  </r>
  <r>
    <n v="5"/>
    <x v="4"/>
    <x v="4"/>
    <n v="56000"/>
    <n v="30"/>
    <x v="4"/>
    <n v="7"/>
    <n v="2434.782608695652"/>
    <n v="56000"/>
    <n v="6720"/>
    <n v="420"/>
    <n v="48860"/>
  </r>
  <r>
    <n v="6"/>
    <x v="5"/>
    <x v="5"/>
    <n v="17000"/>
    <n v="30"/>
    <x v="5"/>
    <n v="3"/>
    <n v="629.6296296296297"/>
    <n v="17000"/>
    <n v="2040"/>
    <n v="127.5"/>
    <n v="14832.5"/>
  </r>
  <r>
    <n v="7"/>
    <x v="6"/>
    <x v="0"/>
    <n v="41000"/>
    <n v="30"/>
    <x v="6"/>
    <n v="1"/>
    <n v="1413.7931034482758"/>
    <n v="41000"/>
    <n v="4920"/>
    <n v="307.5"/>
    <n v="35772.5"/>
  </r>
  <r>
    <n v="8"/>
    <x v="7"/>
    <x v="1"/>
    <n v="53000"/>
    <n v="30"/>
    <x v="4"/>
    <n v="7"/>
    <n v="2304.3478260869565"/>
    <n v="53000"/>
    <n v="6360"/>
    <n v="397.5"/>
    <n v="46242.5"/>
  </r>
  <r>
    <n v="9"/>
    <x v="8"/>
    <x v="2"/>
    <n v="21000"/>
    <n v="30"/>
    <x v="3"/>
    <n v="9"/>
    <n v="1000"/>
    <n v="21000"/>
    <n v="2520"/>
    <n v="157.5"/>
    <n v="18322.5"/>
  </r>
  <r>
    <n v="10"/>
    <x v="9"/>
    <x v="3"/>
    <n v="32000"/>
    <n v="30"/>
    <x v="7"/>
    <n v="4"/>
    <n v="1230.7692307692307"/>
    <n v="32000"/>
    <n v="3840"/>
    <n v="240"/>
    <n v="27920"/>
  </r>
  <r>
    <n v="11"/>
    <x v="10"/>
    <x v="4"/>
    <n v="45000"/>
    <n v="30"/>
    <x v="1"/>
    <n v="0"/>
    <n v="1500"/>
    <n v="45000"/>
    <n v="5400"/>
    <n v="337.5"/>
    <n v="39262.5"/>
  </r>
  <r>
    <n v="12"/>
    <x v="11"/>
    <x v="5"/>
    <n v="15000"/>
    <n v="30"/>
    <x v="1"/>
    <n v="0"/>
    <n v="500"/>
    <n v="15000"/>
    <n v="1800"/>
    <n v="112.5"/>
    <n v="13087.5"/>
  </r>
  <r>
    <n v="13"/>
    <x v="12"/>
    <x v="0"/>
    <n v="48000"/>
    <n v="30"/>
    <x v="1"/>
    <n v="0"/>
    <n v="1600"/>
    <n v="48000"/>
    <n v="5760"/>
    <n v="360"/>
    <n v="41880"/>
  </r>
  <r>
    <n v="14"/>
    <x v="13"/>
    <x v="1"/>
    <n v="57000"/>
    <n v="30"/>
    <x v="8"/>
    <n v="8"/>
    <n v="2590.909090909091"/>
    <n v="57000"/>
    <n v="6840"/>
    <n v="427.5"/>
    <n v="49732.5"/>
  </r>
  <r>
    <n v="15"/>
    <x v="14"/>
    <x v="2"/>
    <n v="22000"/>
    <n v="30"/>
    <x v="6"/>
    <n v="1"/>
    <n v="758.6206896551724"/>
    <n v="22000"/>
    <n v="2640"/>
    <n v="165"/>
    <n v="19195"/>
  </r>
  <r>
    <n v="16"/>
    <x v="15"/>
    <x v="3"/>
    <n v="52000"/>
    <n v="30"/>
    <x v="9"/>
    <n v="2"/>
    <n v="1857.142857142857"/>
    <n v="52000"/>
    <n v="6240"/>
    <n v="390"/>
    <n v="45370"/>
  </r>
  <r>
    <n v="17"/>
    <x v="16"/>
    <x v="4"/>
    <n v="20000"/>
    <n v="30"/>
    <x v="5"/>
    <n v="3"/>
    <n v="740.7407407407408"/>
    <n v="20000"/>
    <n v="2400"/>
    <n v="150"/>
    <n v="17450"/>
  </r>
  <r>
    <n v="18"/>
    <x v="17"/>
    <x v="5"/>
    <n v="28000"/>
    <n v="30"/>
    <x v="10"/>
    <n v="5"/>
    <n v="1120"/>
    <n v="28000"/>
    <n v="3360"/>
    <n v="210"/>
    <n v="24430"/>
  </r>
  <r>
    <n v="19"/>
    <x v="18"/>
    <x v="0"/>
    <n v="60000"/>
    <n v="30"/>
    <x v="9"/>
    <n v="2"/>
    <n v="2142.8571428571427"/>
    <n v="59999.99999999999"/>
    <n v="7199.999999999999"/>
    <n v="449.99999999999994"/>
    <n v="52349.99999999999"/>
  </r>
  <r>
    <n v="20"/>
    <x v="19"/>
    <x v="1"/>
    <n v="28000"/>
    <n v="30"/>
    <x v="9"/>
    <n v="2"/>
    <n v="1000"/>
    <n v="28000"/>
    <n v="3360"/>
    <n v="210"/>
    <n v="24430"/>
  </r>
  <r>
    <n v="21"/>
    <x v="20"/>
    <x v="2"/>
    <n v="16000"/>
    <n v="30"/>
    <x v="10"/>
    <n v="5"/>
    <n v="640"/>
    <n v="16000"/>
    <n v="1920"/>
    <n v="120"/>
    <n v="13960"/>
  </r>
  <r>
    <n v="22"/>
    <x v="21"/>
    <x v="3"/>
    <n v="19000"/>
    <n v="30"/>
    <x v="5"/>
    <n v="3"/>
    <n v="703.7037037037037"/>
    <n v="19000"/>
    <n v="2280"/>
    <n v="142.5"/>
    <n v="16577.5"/>
  </r>
  <r>
    <n v="23"/>
    <x v="22"/>
    <x v="4"/>
    <n v="19000"/>
    <n v="30"/>
    <x v="6"/>
    <n v="1"/>
    <n v="655.1724137931035"/>
    <n v="19000"/>
    <n v="2280"/>
    <n v="142.5"/>
    <n v="16577.5"/>
  </r>
  <r>
    <n v="24"/>
    <x v="23"/>
    <x v="5"/>
    <n v="26000"/>
    <n v="30"/>
    <x v="8"/>
    <n v="8"/>
    <n v="1181.8181818181818"/>
    <n v="26000"/>
    <n v="3120"/>
    <n v="195"/>
    <n v="22685"/>
  </r>
  <r>
    <n v="25"/>
    <x v="24"/>
    <x v="0"/>
    <n v="35000"/>
    <n v="30"/>
    <x v="6"/>
    <n v="1"/>
    <n v="1206.896551724138"/>
    <n v="35000"/>
    <n v="4200"/>
    <n v="262.5"/>
    <n v="30537.5"/>
  </r>
  <r>
    <n v="26"/>
    <x v="25"/>
    <x v="1"/>
    <n v="19000"/>
    <n v="30"/>
    <x v="2"/>
    <n v="6"/>
    <n v="791.6666666666666"/>
    <n v="19000"/>
    <n v="2280"/>
    <n v="142.5"/>
    <n v="16577.5"/>
  </r>
  <r>
    <n v="27"/>
    <x v="26"/>
    <x v="2"/>
    <n v="28000"/>
    <n v="30"/>
    <x v="1"/>
    <n v="0"/>
    <n v="933.3333333333334"/>
    <n v="28000"/>
    <n v="3360"/>
    <n v="210"/>
    <n v="24430"/>
  </r>
  <r>
    <n v="28"/>
    <x v="27"/>
    <x v="3"/>
    <n v="31000"/>
    <n v="30"/>
    <x v="2"/>
    <n v="6"/>
    <n v="1291.6666666666667"/>
    <n v="31000"/>
    <n v="3720"/>
    <n v="232.5"/>
    <n v="27047.5"/>
  </r>
  <r>
    <n v="29"/>
    <x v="28"/>
    <x v="4"/>
    <n v="42000"/>
    <n v="30"/>
    <x v="3"/>
    <n v="9"/>
    <n v="2000"/>
    <n v="42000"/>
    <n v="5040"/>
    <n v="315"/>
    <n v="36645"/>
  </r>
  <r>
    <n v="30"/>
    <x v="29"/>
    <x v="5"/>
    <n v="46000"/>
    <n v="30"/>
    <x v="3"/>
    <n v="9"/>
    <n v="2190.4761904761904"/>
    <n v="46000"/>
    <n v="5520"/>
    <n v="345"/>
    <n v="40135"/>
  </r>
  <r>
    <n v="31"/>
    <x v="30"/>
    <x v="0"/>
    <n v="28000"/>
    <n v="30"/>
    <x v="1"/>
    <n v="0"/>
    <n v="933.3333333333334"/>
    <n v="28000"/>
    <n v="3360"/>
    <n v="210"/>
    <n v="24430"/>
  </r>
  <r>
    <n v="32"/>
    <x v="31"/>
    <x v="1"/>
    <n v="40000"/>
    <n v="30"/>
    <x v="7"/>
    <n v="4"/>
    <n v="1538.4615384615386"/>
    <n v="40000"/>
    <n v="4800"/>
    <n v="300"/>
    <n v="34900"/>
  </r>
  <r>
    <n v="33"/>
    <x v="32"/>
    <x v="2"/>
    <n v="29000"/>
    <n v="30"/>
    <x v="0"/>
    <n v="10"/>
    <n v="1450"/>
    <n v="29000"/>
    <n v="3480"/>
    <n v="217.5"/>
    <n v="25302.5"/>
  </r>
  <r>
    <n v="34"/>
    <x v="33"/>
    <x v="3"/>
    <n v="15000"/>
    <n v="30"/>
    <x v="3"/>
    <n v="9"/>
    <n v="714.2857142857143"/>
    <n v="15000.000000000002"/>
    <n v="1800.0000000000002"/>
    <n v="112.50000000000001"/>
    <n v="13087.500000000002"/>
  </r>
  <r>
    <n v="35"/>
    <x v="34"/>
    <x v="4"/>
    <n v="24000"/>
    <n v="30"/>
    <x v="1"/>
    <n v="0"/>
    <n v="800"/>
    <n v="24000"/>
    <n v="2880"/>
    <n v="180"/>
    <n v="20940"/>
  </r>
  <r>
    <n v="36"/>
    <x v="35"/>
    <x v="5"/>
    <n v="55000"/>
    <n v="30"/>
    <x v="0"/>
    <n v="10"/>
    <n v="2750"/>
    <n v="55000"/>
    <n v="6600"/>
    <n v="412.5"/>
    <n v="47987.5"/>
  </r>
  <r>
    <n v="37"/>
    <x v="36"/>
    <x v="0"/>
    <n v="16000"/>
    <n v="30"/>
    <x v="10"/>
    <n v="5"/>
    <n v="640"/>
    <n v="16000"/>
    <n v="1920"/>
    <n v="120"/>
    <n v="13960"/>
  </r>
  <r>
    <n v="38"/>
    <x v="37"/>
    <x v="1"/>
    <n v="22000"/>
    <n v="30"/>
    <x v="3"/>
    <n v="9"/>
    <n v="1047.6190476190477"/>
    <n v="22000"/>
    <n v="2640"/>
    <n v="165"/>
    <n v="19195"/>
  </r>
  <r>
    <n v="39"/>
    <x v="38"/>
    <x v="2"/>
    <n v="32000"/>
    <n v="30"/>
    <x v="4"/>
    <n v="7"/>
    <n v="1391.304347826087"/>
    <n v="32000"/>
    <n v="3840"/>
    <n v="240"/>
    <n v="27920"/>
  </r>
  <r>
    <n v="40"/>
    <x v="39"/>
    <x v="3"/>
    <n v="22000"/>
    <n v="30"/>
    <x v="0"/>
    <n v="10"/>
    <n v="1100"/>
    <n v="22000"/>
    <n v="2640"/>
    <n v="165"/>
    <n v="19195"/>
  </r>
  <r>
    <n v="41"/>
    <x v="40"/>
    <x v="4"/>
    <n v="19000"/>
    <n v="30"/>
    <x v="1"/>
    <n v="0"/>
    <n v="633.3333333333334"/>
    <n v="19000"/>
    <n v="2280"/>
    <n v="142.5"/>
    <n v="16577.5"/>
  </r>
  <r>
    <n v="42"/>
    <x v="41"/>
    <x v="5"/>
    <n v="16000"/>
    <n v="30"/>
    <x v="5"/>
    <n v="3"/>
    <n v="592.5925925925926"/>
    <n v="16000"/>
    <n v="1920"/>
    <n v="120"/>
    <n v="13960"/>
  </r>
  <r>
    <n v="43"/>
    <x v="42"/>
    <x v="0"/>
    <n v="15000"/>
    <n v="30"/>
    <x v="6"/>
    <n v="1"/>
    <n v="517.2413793103449"/>
    <n v="15000.000000000002"/>
    <n v="1800.0000000000002"/>
    <n v="112.50000000000001"/>
    <n v="13087.500000000002"/>
  </r>
  <r>
    <n v="44"/>
    <x v="43"/>
    <x v="1"/>
    <n v="47000"/>
    <n v="30"/>
    <x v="8"/>
    <n v="8"/>
    <n v="2136.3636363636365"/>
    <n v="47000"/>
    <n v="5640"/>
    <n v="352.5"/>
    <n v="41007.5"/>
  </r>
  <r>
    <n v="45"/>
    <x v="44"/>
    <x v="2"/>
    <n v="18000"/>
    <n v="30"/>
    <x v="2"/>
    <n v="6"/>
    <n v="750"/>
    <n v="18000"/>
    <n v="2160"/>
    <n v="135"/>
    <n v="15705"/>
  </r>
  <r>
    <n v="46"/>
    <x v="45"/>
    <x v="3"/>
    <n v="20000"/>
    <n v="30"/>
    <x v="3"/>
    <n v="9"/>
    <n v="952.3809523809524"/>
    <n v="20000"/>
    <n v="2400"/>
    <n v="150"/>
    <n v="17450"/>
  </r>
  <r>
    <n v="47"/>
    <x v="46"/>
    <x v="4"/>
    <n v="51000"/>
    <n v="30"/>
    <x v="2"/>
    <n v="6"/>
    <n v="2125"/>
    <n v="51000"/>
    <n v="6120"/>
    <n v="382.5"/>
    <n v="44497.5"/>
  </r>
  <r>
    <n v="48"/>
    <x v="47"/>
    <x v="5"/>
    <n v="46000"/>
    <n v="30"/>
    <x v="8"/>
    <n v="8"/>
    <n v="2090.909090909091"/>
    <n v="46000"/>
    <n v="5520"/>
    <n v="345"/>
    <n v="40135"/>
  </r>
  <r>
    <n v="49"/>
    <x v="48"/>
    <x v="0"/>
    <n v="58000"/>
    <n v="30"/>
    <x v="3"/>
    <n v="9"/>
    <n v="2761.904761904762"/>
    <n v="58000"/>
    <n v="6960"/>
    <n v="435"/>
    <n v="50605"/>
  </r>
  <r>
    <n v="50"/>
    <x v="49"/>
    <x v="1"/>
    <n v="50000"/>
    <n v="30"/>
    <x v="4"/>
    <n v="7"/>
    <n v="2173.913043478261"/>
    <n v="50000"/>
    <n v="6000"/>
    <n v="375"/>
    <n v="43625"/>
  </r>
  <r>
    <n v="51"/>
    <x v="50"/>
    <x v="2"/>
    <n v="59000"/>
    <n v="30"/>
    <x v="1"/>
    <n v="0"/>
    <n v="1966.6666666666667"/>
    <n v="59000"/>
    <n v="7080"/>
    <n v="442.5"/>
    <n v="51477.5"/>
  </r>
  <r>
    <n v="52"/>
    <x v="51"/>
    <x v="3"/>
    <n v="45000"/>
    <n v="30"/>
    <x v="9"/>
    <n v="2"/>
    <n v="1607.142857142857"/>
    <n v="45000"/>
    <n v="5400"/>
    <n v="337.5"/>
    <n v="39262.5"/>
  </r>
  <r>
    <n v="53"/>
    <x v="52"/>
    <x v="4"/>
    <n v="49000"/>
    <n v="30"/>
    <x v="2"/>
    <n v="6"/>
    <n v="2041.6666666666667"/>
    <n v="49000"/>
    <n v="5880"/>
    <n v="367.5"/>
    <n v="42752.5"/>
  </r>
  <r>
    <n v="54"/>
    <x v="53"/>
    <x v="5"/>
    <n v="16000"/>
    <n v="30"/>
    <x v="8"/>
    <n v="8"/>
    <n v="727.2727272727273"/>
    <n v="16000"/>
    <n v="1920"/>
    <n v="120"/>
    <n v="13960"/>
  </r>
  <r>
    <n v="55"/>
    <x v="54"/>
    <x v="0"/>
    <n v="42000"/>
    <n v="30"/>
    <x v="8"/>
    <n v="8"/>
    <n v="1909.090909090909"/>
    <n v="42000"/>
    <n v="5040"/>
    <n v="315"/>
    <n v="36645"/>
  </r>
  <r>
    <n v="56"/>
    <x v="55"/>
    <x v="1"/>
    <n v="60000"/>
    <n v="30"/>
    <x v="7"/>
    <n v="4"/>
    <n v="2307.6923076923076"/>
    <n v="60000"/>
    <n v="7200"/>
    <n v="450"/>
    <n v="52350"/>
  </r>
  <r>
    <n v="57"/>
    <x v="56"/>
    <x v="2"/>
    <n v="20000"/>
    <n v="30"/>
    <x v="2"/>
    <n v="6"/>
    <n v="833.3333333333334"/>
    <n v="20000"/>
    <n v="2400"/>
    <n v="150"/>
    <n v="17450"/>
  </r>
  <r>
    <n v="58"/>
    <x v="57"/>
    <x v="3"/>
    <n v="42000"/>
    <n v="30"/>
    <x v="10"/>
    <n v="5"/>
    <n v="1680"/>
    <n v="42000"/>
    <n v="5040"/>
    <n v="315"/>
    <n v="36645"/>
  </r>
  <r>
    <n v="59"/>
    <x v="58"/>
    <x v="4"/>
    <n v="42000"/>
    <n v="30"/>
    <x v="5"/>
    <n v="3"/>
    <n v="1555.5555555555557"/>
    <n v="42000"/>
    <n v="5040"/>
    <n v="315"/>
    <n v="36645"/>
  </r>
  <r>
    <n v="60"/>
    <x v="59"/>
    <x v="5"/>
    <n v="40000"/>
    <n v="30"/>
    <x v="8"/>
    <n v="8"/>
    <n v="1818.1818181818182"/>
    <n v="40000"/>
    <n v="4800"/>
    <n v="300"/>
    <n v="34900"/>
  </r>
  <r>
    <n v="61"/>
    <x v="60"/>
    <x v="0"/>
    <n v="60000"/>
    <n v="30"/>
    <x v="8"/>
    <n v="8"/>
    <n v="2727.2727272727275"/>
    <n v="60000.00000000001"/>
    <n v="7200.000000000001"/>
    <n v="450.00000000000006"/>
    <n v="52350.00000000001"/>
  </r>
  <r>
    <n v="62"/>
    <x v="61"/>
    <x v="1"/>
    <n v="56000"/>
    <n v="30"/>
    <x v="8"/>
    <n v="8"/>
    <n v="2545.4545454545455"/>
    <n v="56000"/>
    <n v="6720"/>
    <n v="420"/>
    <n v="48860"/>
  </r>
  <r>
    <n v="63"/>
    <x v="62"/>
    <x v="2"/>
    <n v="31000"/>
    <n v="30"/>
    <x v="8"/>
    <n v="8"/>
    <n v="1409.090909090909"/>
    <n v="31000"/>
    <n v="3720"/>
    <n v="232.5"/>
    <n v="27047.5"/>
  </r>
  <r>
    <n v="64"/>
    <x v="63"/>
    <x v="3"/>
    <n v="29000"/>
    <n v="30"/>
    <x v="4"/>
    <n v="7"/>
    <n v="1260.8695652173913"/>
    <n v="29000"/>
    <n v="3480"/>
    <n v="217.5"/>
    <n v="25302.5"/>
  </r>
  <r>
    <n v="65"/>
    <x v="64"/>
    <x v="4"/>
    <n v="18000"/>
    <n v="30"/>
    <x v="7"/>
    <n v="4"/>
    <n v="692.3076923076923"/>
    <n v="18000"/>
    <n v="2160"/>
    <n v="135"/>
    <n v="15705"/>
  </r>
  <r>
    <n v="66"/>
    <x v="65"/>
    <x v="5"/>
    <n v="32000"/>
    <n v="30"/>
    <x v="9"/>
    <n v="2"/>
    <n v="1142.857142857143"/>
    <n v="32000"/>
    <n v="3840"/>
    <n v="240"/>
    <n v="27920"/>
  </r>
  <r>
    <n v="67"/>
    <x v="66"/>
    <x v="0"/>
    <n v="30000"/>
    <n v="30"/>
    <x v="0"/>
    <n v="10"/>
    <n v="1500"/>
    <n v="30000"/>
    <n v="3600"/>
    <n v="225"/>
    <n v="26175"/>
  </r>
  <r>
    <n v="68"/>
    <x v="67"/>
    <x v="1"/>
    <n v="60000"/>
    <n v="30"/>
    <x v="10"/>
    <n v="5"/>
    <n v="2400"/>
    <n v="60000"/>
    <n v="7200"/>
    <n v="450"/>
    <n v="52350"/>
  </r>
  <r>
    <n v="69"/>
    <x v="68"/>
    <x v="2"/>
    <n v="33000"/>
    <n v="30"/>
    <x v="6"/>
    <n v="1"/>
    <n v="1137.9310344827586"/>
    <n v="33000"/>
    <n v="3960"/>
    <n v="247.5"/>
    <n v="28792.5"/>
  </r>
  <r>
    <n v="70"/>
    <x v="69"/>
    <x v="3"/>
    <n v="49000"/>
    <n v="30"/>
    <x v="8"/>
    <n v="8"/>
    <n v="2227.2727272727275"/>
    <n v="49000.00000000001"/>
    <n v="5880.000000000001"/>
    <n v="367.50000000000006"/>
    <n v="42752.50000000001"/>
  </r>
  <r>
    <n v="71"/>
    <x v="70"/>
    <x v="4"/>
    <n v="16000"/>
    <n v="30"/>
    <x v="6"/>
    <n v="1"/>
    <n v="551.7241379310345"/>
    <n v="16000.000000000002"/>
    <n v="1920.0000000000002"/>
    <n v="120.00000000000001"/>
    <n v="13960.000000000002"/>
  </r>
  <r>
    <n v="72"/>
    <x v="71"/>
    <x v="5"/>
    <n v="16000"/>
    <n v="30"/>
    <x v="10"/>
    <n v="5"/>
    <n v="640"/>
    <n v="16000"/>
    <n v="1920"/>
    <n v="120"/>
    <n v="13960"/>
  </r>
  <r>
    <n v="73"/>
    <x v="72"/>
    <x v="0"/>
    <n v="22000"/>
    <n v="30"/>
    <x v="3"/>
    <n v="9"/>
    <n v="1047.6190476190477"/>
    <n v="22000"/>
    <n v="2640"/>
    <n v="165"/>
    <n v="19195"/>
  </r>
  <r>
    <n v="74"/>
    <x v="73"/>
    <x v="1"/>
    <n v="17000"/>
    <n v="30"/>
    <x v="1"/>
    <n v="0"/>
    <n v="566.6666666666666"/>
    <n v="17000"/>
    <n v="2040"/>
    <n v="127.5"/>
    <n v="14832.5"/>
  </r>
  <r>
    <n v="75"/>
    <x v="74"/>
    <x v="2"/>
    <n v="34000"/>
    <n v="30"/>
    <x v="5"/>
    <n v="3"/>
    <n v="1259.2592592592594"/>
    <n v="34000"/>
    <n v="4080"/>
    <n v="255"/>
    <n v="29665"/>
  </r>
  <r>
    <n v="76"/>
    <x v="75"/>
    <x v="3"/>
    <n v="15000"/>
    <n v="30"/>
    <x v="1"/>
    <n v="0"/>
    <n v="500"/>
    <n v="15000"/>
    <n v="1800"/>
    <n v="112.5"/>
    <n v="13087.5"/>
  </r>
  <r>
    <n v="77"/>
    <x v="76"/>
    <x v="4"/>
    <n v="46000"/>
    <n v="30"/>
    <x v="4"/>
    <n v="7"/>
    <n v="2000"/>
    <n v="46000"/>
    <n v="5520"/>
    <n v="345"/>
    <n v="40135"/>
  </r>
  <r>
    <n v="78"/>
    <x v="77"/>
    <x v="5"/>
    <n v="43000"/>
    <n v="30"/>
    <x v="7"/>
    <n v="4"/>
    <n v="1653.8461538461538"/>
    <n v="43000"/>
    <n v="5160"/>
    <n v="322.5"/>
    <n v="37517.5"/>
  </r>
  <r>
    <n v="79"/>
    <x v="78"/>
    <x v="0"/>
    <n v="29000"/>
    <n v="30"/>
    <x v="6"/>
    <n v="1"/>
    <n v="1000"/>
    <n v="29000"/>
    <n v="3480"/>
    <n v="217.5"/>
    <n v="25302.5"/>
  </r>
  <r>
    <n v="80"/>
    <x v="79"/>
    <x v="1"/>
    <n v="26000"/>
    <n v="30"/>
    <x v="4"/>
    <n v="7"/>
    <n v="1130.4347826086957"/>
    <n v="26000.000000000004"/>
    <n v="3120.0000000000005"/>
    <n v="195.00000000000003"/>
    <n v="22685.000000000004"/>
  </r>
  <r>
    <n v="81"/>
    <x v="80"/>
    <x v="2"/>
    <n v="57000"/>
    <n v="30"/>
    <x v="10"/>
    <n v="5"/>
    <n v="2280"/>
    <n v="57000"/>
    <n v="6840"/>
    <n v="427.5"/>
    <n v="49732.5"/>
  </r>
  <r>
    <n v="82"/>
    <x v="81"/>
    <x v="3"/>
    <n v="36000"/>
    <n v="30"/>
    <x v="6"/>
    <n v="1"/>
    <n v="1241.3793103448277"/>
    <n v="36000"/>
    <n v="4320"/>
    <n v="270"/>
    <n v="31410"/>
  </r>
  <r>
    <n v="83"/>
    <x v="82"/>
    <x v="4"/>
    <n v="36000"/>
    <n v="30"/>
    <x v="2"/>
    <n v="6"/>
    <n v="1500"/>
    <n v="36000"/>
    <n v="4320"/>
    <n v="270"/>
    <n v="31410"/>
  </r>
  <r>
    <n v="84"/>
    <x v="83"/>
    <x v="5"/>
    <n v="32000"/>
    <n v="30"/>
    <x v="9"/>
    <n v="2"/>
    <n v="1142.857142857143"/>
    <n v="32000"/>
    <n v="3840"/>
    <n v="240"/>
    <n v="27920"/>
  </r>
  <r>
    <n v="85"/>
    <x v="84"/>
    <x v="0"/>
    <n v="17000"/>
    <n v="30"/>
    <x v="5"/>
    <n v="3"/>
    <n v="629.6296296296297"/>
    <n v="17000"/>
    <n v="2040"/>
    <n v="127.5"/>
    <n v="14832.5"/>
  </r>
  <r>
    <n v="86"/>
    <x v="85"/>
    <x v="1"/>
    <n v="59000"/>
    <n v="30"/>
    <x v="10"/>
    <n v="5"/>
    <n v="2360"/>
    <n v="59000"/>
    <n v="7080"/>
    <n v="442.5"/>
    <n v="51477.5"/>
  </r>
  <r>
    <n v="87"/>
    <x v="86"/>
    <x v="2"/>
    <n v="52000"/>
    <n v="30"/>
    <x v="9"/>
    <n v="2"/>
    <n v="1857.142857142857"/>
    <n v="52000"/>
    <n v="6240"/>
    <n v="390"/>
    <n v="45370"/>
  </r>
  <r>
    <n v="88"/>
    <x v="87"/>
    <x v="3"/>
    <n v="37000"/>
    <n v="30"/>
    <x v="3"/>
    <n v="9"/>
    <n v="1761.904761904762"/>
    <n v="37000"/>
    <n v="4440"/>
    <n v="277.5"/>
    <n v="32282.5"/>
  </r>
  <r>
    <n v="89"/>
    <x v="88"/>
    <x v="4"/>
    <n v="31000"/>
    <n v="30"/>
    <x v="10"/>
    <n v="5"/>
    <n v="1240"/>
    <n v="31000"/>
    <n v="3720"/>
    <n v="232.5"/>
    <n v="27047.5"/>
  </r>
  <r>
    <n v="90"/>
    <x v="89"/>
    <x v="5"/>
    <n v="31000"/>
    <n v="30"/>
    <x v="6"/>
    <n v="1"/>
    <n v="1068.9655172413793"/>
    <n v="31000"/>
    <n v="3720"/>
    <n v="232.5"/>
    <n v="27047.5"/>
  </r>
  <r>
    <n v="91"/>
    <x v="90"/>
    <x v="0"/>
    <n v="26000"/>
    <n v="30"/>
    <x v="0"/>
    <n v="10"/>
    <n v="1300"/>
    <n v="26000"/>
    <n v="3120"/>
    <n v="195"/>
    <n v="22685"/>
  </r>
  <r>
    <n v="92"/>
    <x v="91"/>
    <x v="1"/>
    <n v="39000"/>
    <n v="30"/>
    <x v="6"/>
    <n v="1"/>
    <n v="1344.8275862068965"/>
    <n v="39000"/>
    <n v="4680"/>
    <n v="292.5"/>
    <n v="34027.5"/>
  </r>
  <r>
    <n v="93"/>
    <x v="92"/>
    <x v="2"/>
    <n v="35000"/>
    <n v="30"/>
    <x v="6"/>
    <n v="1"/>
    <n v="1206.896551724138"/>
    <n v="35000"/>
    <n v="4200"/>
    <n v="262.5"/>
    <n v="30537.5"/>
  </r>
  <r>
    <n v="94"/>
    <x v="93"/>
    <x v="3"/>
    <n v="24000"/>
    <n v="30"/>
    <x v="4"/>
    <n v="7"/>
    <n v="1043.4782608695652"/>
    <n v="24000"/>
    <n v="2880"/>
    <n v="180"/>
    <n v="20940"/>
  </r>
  <r>
    <n v="95"/>
    <x v="94"/>
    <x v="4"/>
    <n v="42000"/>
    <n v="30"/>
    <x v="5"/>
    <n v="3"/>
    <n v="1555.5555555555557"/>
    <n v="42000"/>
    <n v="5040"/>
    <n v="315"/>
    <n v="36645"/>
  </r>
  <r>
    <n v="96"/>
    <x v="95"/>
    <x v="5"/>
    <n v="30000"/>
    <n v="30"/>
    <x v="3"/>
    <n v="9"/>
    <n v="1428.5714285714287"/>
    <n v="30000.000000000004"/>
    <n v="3600.0000000000005"/>
    <n v="225.00000000000003"/>
    <n v="26175.000000000004"/>
  </r>
  <r>
    <n v="97"/>
    <x v="96"/>
    <x v="0"/>
    <n v="39000"/>
    <n v="30"/>
    <x v="6"/>
    <n v="1"/>
    <n v="1344.8275862068965"/>
    <n v="39000"/>
    <n v="4680"/>
    <n v="292.5"/>
    <n v="34027.5"/>
  </r>
  <r>
    <n v="98"/>
    <x v="97"/>
    <x v="1"/>
    <n v="51000"/>
    <n v="30"/>
    <x v="9"/>
    <n v="2"/>
    <n v="1821.4285714285713"/>
    <n v="51000"/>
    <n v="6120"/>
    <n v="382.5"/>
    <n v="44497.5"/>
  </r>
  <r>
    <n v="99"/>
    <x v="98"/>
    <x v="2"/>
    <n v="20000"/>
    <n v="30"/>
    <x v="5"/>
    <n v="3"/>
    <n v="740.7407407407408"/>
    <n v="20000"/>
    <n v="2400"/>
    <n v="150"/>
    <n v="17450"/>
  </r>
  <r>
    <n v="100"/>
    <x v="99"/>
    <x v="3"/>
    <n v="57000"/>
    <n v="30"/>
    <x v="7"/>
    <n v="4"/>
    <n v="2192.3076923076924"/>
    <n v="57000"/>
    <n v="6840"/>
    <n v="427.5"/>
    <n v="49732.5"/>
  </r>
  <r>
    <n v="101"/>
    <x v="100"/>
    <x v="4"/>
    <n v="55000"/>
    <n v="30"/>
    <x v="3"/>
    <n v="9"/>
    <n v="2619.0476190476193"/>
    <n v="55000.00000000001"/>
    <n v="6600.000000000001"/>
    <n v="412.50000000000006"/>
    <n v="47987.50000000001"/>
  </r>
  <r>
    <n v="102"/>
    <x v="101"/>
    <x v="5"/>
    <n v="43000"/>
    <n v="30"/>
    <x v="5"/>
    <n v="3"/>
    <n v="1592.5925925925926"/>
    <n v="43000"/>
    <n v="5160"/>
    <n v="322.5"/>
    <n v="37517.5"/>
  </r>
  <r>
    <n v="103"/>
    <x v="102"/>
    <x v="0"/>
    <n v="36000"/>
    <n v="30"/>
    <x v="4"/>
    <n v="7"/>
    <n v="1565.2173913043478"/>
    <n v="36000"/>
    <n v="4320"/>
    <n v="270"/>
    <n v="31410"/>
  </r>
  <r>
    <n v="104"/>
    <x v="103"/>
    <x v="1"/>
    <n v="54000"/>
    <n v="30"/>
    <x v="2"/>
    <n v="6"/>
    <n v="2250"/>
    <n v="54000"/>
    <n v="6480"/>
    <n v="405"/>
    <n v="47115"/>
  </r>
  <r>
    <n v="105"/>
    <x v="104"/>
    <x v="2"/>
    <n v="36000"/>
    <n v="30"/>
    <x v="2"/>
    <n v="6"/>
    <n v="1500"/>
    <n v="36000"/>
    <n v="4320"/>
    <n v="270"/>
    <n v="31410"/>
  </r>
  <r>
    <n v="106"/>
    <x v="105"/>
    <x v="3"/>
    <n v="55000"/>
    <n v="30"/>
    <x v="4"/>
    <n v="7"/>
    <n v="2391.304347826087"/>
    <n v="55000"/>
    <n v="6600"/>
    <n v="412.5"/>
    <n v="47987.5"/>
  </r>
  <r>
    <n v="107"/>
    <x v="106"/>
    <x v="4"/>
    <n v="42000"/>
    <n v="30"/>
    <x v="5"/>
    <n v="3"/>
    <n v="1555.5555555555557"/>
    <n v="42000"/>
    <n v="5040"/>
    <n v="315"/>
    <n v="36645"/>
  </r>
  <r>
    <n v="108"/>
    <x v="107"/>
    <x v="5"/>
    <n v="27000"/>
    <n v="30"/>
    <x v="7"/>
    <n v="4"/>
    <n v="1038.4615384615386"/>
    <n v="27000.000000000004"/>
    <n v="3240.0000000000005"/>
    <n v="202.50000000000003"/>
    <n v="23557.500000000004"/>
  </r>
  <r>
    <n v="109"/>
    <x v="108"/>
    <x v="0"/>
    <n v="26000"/>
    <n v="30"/>
    <x v="9"/>
    <n v="2"/>
    <n v="928.5714285714286"/>
    <n v="26000"/>
    <n v="3120"/>
    <n v="195"/>
    <n v="22685"/>
  </r>
  <r>
    <n v="110"/>
    <x v="109"/>
    <x v="1"/>
    <n v="48000"/>
    <n v="30"/>
    <x v="3"/>
    <n v="9"/>
    <n v="2285.714285714286"/>
    <n v="48000"/>
    <n v="5760"/>
    <n v="360"/>
    <n v="41880"/>
  </r>
  <r>
    <n v="111"/>
    <x v="110"/>
    <x v="2"/>
    <n v="43000"/>
    <n v="30"/>
    <x v="5"/>
    <n v="3"/>
    <n v="1592.5925925925926"/>
    <n v="43000"/>
    <n v="5160"/>
    <n v="322.5"/>
    <n v="37517.5"/>
  </r>
  <r>
    <n v="112"/>
    <x v="111"/>
    <x v="3"/>
    <n v="53000"/>
    <n v="30"/>
    <x v="7"/>
    <n v="4"/>
    <n v="2038.4615384615386"/>
    <n v="53000"/>
    <n v="6360"/>
    <n v="397.5"/>
    <n v="46242.5"/>
  </r>
  <r>
    <n v="113"/>
    <x v="112"/>
    <x v="4"/>
    <n v="20000"/>
    <n v="30"/>
    <x v="10"/>
    <n v="5"/>
    <n v="800"/>
    <n v="20000"/>
    <n v="2400"/>
    <n v="150"/>
    <n v="17450"/>
  </r>
  <r>
    <n v="114"/>
    <x v="113"/>
    <x v="5"/>
    <n v="31000"/>
    <n v="30"/>
    <x v="3"/>
    <n v="9"/>
    <n v="1476.1904761904761"/>
    <n v="31000"/>
    <n v="3720"/>
    <n v="232.5"/>
    <n v="27047.5"/>
  </r>
  <r>
    <n v="115"/>
    <x v="114"/>
    <x v="0"/>
    <n v="41000"/>
    <n v="30"/>
    <x v="5"/>
    <n v="3"/>
    <n v="1518.5185185185185"/>
    <n v="41000"/>
    <n v="4920"/>
    <n v="307.5"/>
    <n v="35772.5"/>
  </r>
  <r>
    <n v="116"/>
    <x v="115"/>
    <x v="1"/>
    <n v="32000"/>
    <n v="30"/>
    <x v="4"/>
    <n v="7"/>
    <n v="1391.304347826087"/>
    <n v="32000"/>
    <n v="3840"/>
    <n v="240"/>
    <n v="27920"/>
  </r>
  <r>
    <n v="117"/>
    <x v="116"/>
    <x v="2"/>
    <n v="23000"/>
    <n v="30"/>
    <x v="10"/>
    <n v="5"/>
    <n v="920"/>
    <n v="23000"/>
    <n v="2760"/>
    <n v="172.5"/>
    <n v="20067.5"/>
  </r>
  <r>
    <n v="118"/>
    <x v="117"/>
    <x v="3"/>
    <n v="55000"/>
    <n v="30"/>
    <x v="7"/>
    <n v="4"/>
    <n v="2115.3846153846152"/>
    <n v="55000"/>
    <n v="6600"/>
    <n v="412.5"/>
    <n v="47987.5"/>
  </r>
  <r>
    <n v="119"/>
    <x v="118"/>
    <x v="4"/>
    <n v="54000"/>
    <n v="30"/>
    <x v="0"/>
    <n v="10"/>
    <n v="2700"/>
    <n v="54000"/>
    <n v="6480"/>
    <n v="405"/>
    <n v="47115"/>
  </r>
  <r>
    <n v="120"/>
    <x v="119"/>
    <x v="5"/>
    <n v="54000"/>
    <n v="30"/>
    <x v="7"/>
    <n v="4"/>
    <n v="2076.923076923077"/>
    <n v="54000.00000000001"/>
    <n v="6480.000000000001"/>
    <n v="405.00000000000006"/>
    <n v="47115.00000000001"/>
  </r>
  <r>
    <n v="121"/>
    <x v="120"/>
    <x v="0"/>
    <n v="44000"/>
    <n v="30"/>
    <x v="3"/>
    <n v="9"/>
    <n v="2095.2380952380954"/>
    <n v="44000"/>
    <n v="5280"/>
    <n v="330"/>
    <n v="38390"/>
  </r>
  <r>
    <n v="122"/>
    <x v="121"/>
    <x v="1"/>
    <n v="27000"/>
    <n v="30"/>
    <x v="1"/>
    <n v="0"/>
    <n v="900"/>
    <n v="27000"/>
    <n v="3240"/>
    <n v="202.5"/>
    <n v="23557.5"/>
  </r>
  <r>
    <n v="123"/>
    <x v="122"/>
    <x v="2"/>
    <n v="21000"/>
    <n v="30"/>
    <x v="4"/>
    <n v="7"/>
    <n v="913.0434782608696"/>
    <n v="21000"/>
    <n v="2520"/>
    <n v="157.5"/>
    <n v="18322.5"/>
  </r>
  <r>
    <n v="124"/>
    <x v="123"/>
    <x v="3"/>
    <n v="27000"/>
    <n v="30"/>
    <x v="0"/>
    <n v="10"/>
    <n v="1350"/>
    <n v="27000"/>
    <n v="3240"/>
    <n v="202.5"/>
    <n v="23557.5"/>
  </r>
  <r>
    <n v="125"/>
    <x v="124"/>
    <x v="4"/>
    <n v="32000"/>
    <n v="30"/>
    <x v="7"/>
    <n v="4"/>
    <n v="1230.7692307692307"/>
    <n v="32000"/>
    <n v="3840"/>
    <n v="240"/>
    <n v="27920"/>
  </r>
  <r>
    <n v="126"/>
    <x v="125"/>
    <x v="5"/>
    <n v="53000"/>
    <n v="30"/>
    <x v="3"/>
    <n v="9"/>
    <n v="2523.809523809524"/>
    <n v="53000"/>
    <n v="6360"/>
    <n v="397.5"/>
    <n v="46242.5"/>
  </r>
  <r>
    <n v="127"/>
    <x v="126"/>
    <x v="0"/>
    <n v="50000"/>
    <n v="30"/>
    <x v="0"/>
    <n v="10"/>
    <n v="2500"/>
    <n v="50000"/>
    <n v="6000"/>
    <n v="375"/>
    <n v="43625"/>
  </r>
  <r>
    <n v="128"/>
    <x v="127"/>
    <x v="1"/>
    <n v="46000"/>
    <n v="30"/>
    <x v="6"/>
    <n v="1"/>
    <n v="1586.2068965517242"/>
    <n v="46000"/>
    <n v="5520"/>
    <n v="345"/>
    <n v="40135"/>
  </r>
  <r>
    <n v="129"/>
    <x v="128"/>
    <x v="2"/>
    <n v="21000"/>
    <n v="30"/>
    <x v="5"/>
    <n v="3"/>
    <n v="777.7777777777778"/>
    <n v="21000"/>
    <n v="2520"/>
    <n v="157.5"/>
    <n v="18322.5"/>
  </r>
  <r>
    <n v="130"/>
    <x v="129"/>
    <x v="3"/>
    <n v="38000"/>
    <n v="30"/>
    <x v="7"/>
    <n v="4"/>
    <n v="1461.5384615384614"/>
    <n v="38000"/>
    <n v="4560"/>
    <n v="285"/>
    <n v="33155"/>
  </r>
  <r>
    <n v="131"/>
    <x v="130"/>
    <x v="4"/>
    <n v="46000"/>
    <n v="30"/>
    <x v="6"/>
    <n v="1"/>
    <n v="1586.2068965517242"/>
    <n v="46000"/>
    <n v="5520"/>
    <n v="345"/>
    <n v="40135"/>
  </r>
  <r>
    <n v="132"/>
    <x v="131"/>
    <x v="5"/>
    <n v="40000"/>
    <n v="30"/>
    <x v="7"/>
    <n v="4"/>
    <n v="1538.4615384615386"/>
    <n v="40000"/>
    <n v="4800"/>
    <n v="300"/>
    <n v="34900"/>
  </r>
  <r>
    <n v="133"/>
    <x v="132"/>
    <x v="0"/>
    <n v="37000"/>
    <n v="30"/>
    <x v="2"/>
    <n v="6"/>
    <n v="1541.6666666666667"/>
    <n v="37000"/>
    <n v="4440"/>
    <n v="277.5"/>
    <n v="32282.5"/>
  </r>
  <r>
    <n v="134"/>
    <x v="133"/>
    <x v="1"/>
    <n v="49000"/>
    <n v="30"/>
    <x v="0"/>
    <n v="10"/>
    <n v="2450"/>
    <n v="49000"/>
    <n v="5880"/>
    <n v="367.5"/>
    <n v="42752.5"/>
  </r>
  <r>
    <n v="135"/>
    <x v="134"/>
    <x v="2"/>
    <n v="54000"/>
    <n v="30"/>
    <x v="2"/>
    <n v="6"/>
    <n v="2250"/>
    <n v="54000"/>
    <n v="6480"/>
    <n v="405"/>
    <n v="47115"/>
  </r>
  <r>
    <n v="136"/>
    <x v="135"/>
    <x v="3"/>
    <n v="60000"/>
    <n v="30"/>
    <x v="0"/>
    <n v="10"/>
    <n v="3000"/>
    <n v="60000"/>
    <n v="7200"/>
    <n v="450"/>
    <n v="52350"/>
  </r>
  <r>
    <n v="137"/>
    <x v="136"/>
    <x v="4"/>
    <n v="24000"/>
    <n v="30"/>
    <x v="0"/>
    <n v="10"/>
    <n v="1200"/>
    <n v="24000"/>
    <n v="2880"/>
    <n v="180"/>
    <n v="20940"/>
  </r>
  <r>
    <n v="138"/>
    <x v="137"/>
    <x v="5"/>
    <n v="29000"/>
    <n v="30"/>
    <x v="0"/>
    <n v="10"/>
    <n v="1450"/>
    <n v="29000"/>
    <n v="3480"/>
    <n v="217.5"/>
    <n v="25302.5"/>
  </r>
  <r>
    <n v="139"/>
    <x v="138"/>
    <x v="0"/>
    <n v="36000"/>
    <n v="30"/>
    <x v="5"/>
    <n v="3"/>
    <n v="1333.3333333333333"/>
    <n v="36000"/>
    <n v="4320"/>
    <n v="270"/>
    <n v="31410"/>
  </r>
  <r>
    <n v="140"/>
    <x v="139"/>
    <x v="1"/>
    <n v="29000"/>
    <n v="30"/>
    <x v="9"/>
    <n v="2"/>
    <n v="1035.7142857142858"/>
    <n v="29000"/>
    <n v="3480"/>
    <n v="217.5"/>
    <n v="25302.5"/>
  </r>
  <r>
    <n v="141"/>
    <x v="140"/>
    <x v="2"/>
    <n v="43000"/>
    <n v="30"/>
    <x v="0"/>
    <n v="10"/>
    <n v="2150"/>
    <n v="43000"/>
    <n v="5160"/>
    <n v="322.5"/>
    <n v="37517.5"/>
  </r>
  <r>
    <n v="142"/>
    <x v="141"/>
    <x v="3"/>
    <n v="37000"/>
    <n v="30"/>
    <x v="5"/>
    <n v="3"/>
    <n v="1370.3703703703704"/>
    <n v="37000"/>
    <n v="4440"/>
    <n v="277.5"/>
    <n v="32282.5"/>
  </r>
  <r>
    <n v="143"/>
    <x v="142"/>
    <x v="4"/>
    <n v="35000"/>
    <n v="30"/>
    <x v="4"/>
    <n v="7"/>
    <n v="1521.7391304347825"/>
    <n v="35000"/>
    <n v="4200"/>
    <n v="262.5"/>
    <n v="30537.5"/>
  </r>
  <r>
    <n v="144"/>
    <x v="143"/>
    <x v="5"/>
    <n v="56000"/>
    <n v="30"/>
    <x v="6"/>
    <n v="1"/>
    <n v="1931.0344827586207"/>
    <n v="56000"/>
    <n v="6720"/>
    <n v="420"/>
    <n v="48860"/>
  </r>
  <r>
    <n v="145"/>
    <x v="144"/>
    <x v="0"/>
    <n v="21000"/>
    <n v="30"/>
    <x v="5"/>
    <n v="3"/>
    <n v="777.7777777777778"/>
    <n v="21000"/>
    <n v="2520"/>
    <n v="157.5"/>
    <n v="18322.5"/>
  </r>
  <r>
    <n v="146"/>
    <x v="145"/>
    <x v="1"/>
    <n v="55000"/>
    <n v="30"/>
    <x v="6"/>
    <n v="1"/>
    <n v="1896.551724137931"/>
    <n v="55000"/>
    <n v="6600"/>
    <n v="412.5"/>
    <n v="47987.5"/>
  </r>
  <r>
    <n v="147"/>
    <x v="146"/>
    <x v="2"/>
    <n v="30000"/>
    <n v="30"/>
    <x v="1"/>
    <n v="0"/>
    <n v="1000"/>
    <n v="30000"/>
    <n v="3600"/>
    <n v="225"/>
    <n v="26175"/>
  </r>
  <r>
    <n v="148"/>
    <x v="147"/>
    <x v="3"/>
    <n v="23000"/>
    <n v="30"/>
    <x v="2"/>
    <n v="6"/>
    <n v="958.3333333333334"/>
    <n v="23000"/>
    <n v="2760"/>
    <n v="172.5"/>
    <n v="20067.5"/>
  </r>
  <r>
    <n v="149"/>
    <x v="148"/>
    <x v="4"/>
    <n v="52000"/>
    <n v="30"/>
    <x v="6"/>
    <n v="1"/>
    <n v="1793.103448275862"/>
    <n v="52000"/>
    <n v="6240"/>
    <n v="390"/>
    <n v="45370"/>
  </r>
  <r>
    <n v="150"/>
    <x v="149"/>
    <x v="5"/>
    <n v="31000"/>
    <n v="30"/>
    <x v="10"/>
    <n v="5"/>
    <n v="1240"/>
    <n v="31000"/>
    <n v="3720"/>
    <n v="232.5"/>
    <n v="27047.5"/>
  </r>
  <r>
    <n v="151"/>
    <x v="150"/>
    <x v="0"/>
    <n v="31000"/>
    <n v="30"/>
    <x v="5"/>
    <n v="3"/>
    <n v="1148.148148148148"/>
    <n v="30999.999999999996"/>
    <n v="3719.9999999999995"/>
    <n v="232.49999999999997"/>
    <n v="27047.499999999996"/>
  </r>
  <r>
    <n v="152"/>
    <x v="151"/>
    <x v="1"/>
    <n v="48000"/>
    <n v="30"/>
    <x v="8"/>
    <n v="8"/>
    <n v="2181.818181818182"/>
    <n v="48000"/>
    <n v="5760"/>
    <n v="360"/>
    <n v="41880"/>
  </r>
  <r>
    <n v="153"/>
    <x v="152"/>
    <x v="2"/>
    <n v="21000"/>
    <n v="30"/>
    <x v="10"/>
    <n v="5"/>
    <n v="840"/>
    <n v="21000"/>
    <n v="2520"/>
    <n v="157.5"/>
    <n v="18322.5"/>
  </r>
  <r>
    <n v="154"/>
    <x v="153"/>
    <x v="3"/>
    <n v="36000"/>
    <n v="30"/>
    <x v="6"/>
    <n v="1"/>
    <n v="1241.3793103448277"/>
    <n v="36000"/>
    <n v="4320"/>
    <n v="270"/>
    <n v="31410"/>
  </r>
  <r>
    <n v="155"/>
    <x v="154"/>
    <x v="4"/>
    <n v="37000"/>
    <n v="30"/>
    <x v="7"/>
    <n v="4"/>
    <n v="1423.076923076923"/>
    <n v="37000"/>
    <n v="4440"/>
    <n v="277.5"/>
    <n v="32282.5"/>
  </r>
  <r>
    <n v="156"/>
    <x v="155"/>
    <x v="5"/>
    <n v="22000"/>
    <n v="30"/>
    <x v="9"/>
    <n v="2"/>
    <n v="785.7142857142857"/>
    <n v="22000"/>
    <n v="2640"/>
    <n v="165"/>
    <n v="19195"/>
  </r>
  <r>
    <n v="157"/>
    <x v="156"/>
    <x v="0"/>
    <n v="50000"/>
    <n v="30"/>
    <x v="8"/>
    <n v="8"/>
    <n v="2272.7272727272725"/>
    <n v="49999.99999999999"/>
    <n v="5999.999999999999"/>
    <n v="374.99999999999994"/>
    <n v="43624.99999999999"/>
  </r>
  <r>
    <n v="158"/>
    <x v="157"/>
    <x v="1"/>
    <n v="26000"/>
    <n v="30"/>
    <x v="8"/>
    <n v="8"/>
    <n v="1181.8181818181818"/>
    <n v="26000"/>
    <n v="3120"/>
    <n v="195"/>
    <n v="22685"/>
  </r>
  <r>
    <n v="159"/>
    <x v="158"/>
    <x v="2"/>
    <n v="45000"/>
    <n v="30"/>
    <x v="4"/>
    <n v="7"/>
    <n v="1956.5217391304348"/>
    <n v="45000"/>
    <n v="5400"/>
    <n v="337.5"/>
    <n v="39262.5"/>
  </r>
  <r>
    <n v="160"/>
    <x v="159"/>
    <x v="3"/>
    <n v="39000"/>
    <n v="30"/>
    <x v="7"/>
    <n v="4"/>
    <n v="1500"/>
    <n v="39000"/>
    <n v="4680"/>
    <n v="292.5"/>
    <n v="34027.5"/>
  </r>
  <r>
    <n v="161"/>
    <x v="160"/>
    <x v="4"/>
    <n v="19000"/>
    <n v="30"/>
    <x v="8"/>
    <n v="8"/>
    <n v="863.6363636363636"/>
    <n v="19000"/>
    <n v="2280"/>
    <n v="142.5"/>
    <n v="16577.5"/>
  </r>
  <r>
    <n v="162"/>
    <x v="161"/>
    <x v="5"/>
    <n v="31000"/>
    <n v="30"/>
    <x v="1"/>
    <n v="0"/>
    <n v="1033.3333333333333"/>
    <n v="30999.999999999996"/>
    <n v="3719.9999999999995"/>
    <n v="232.49999999999997"/>
    <n v="27047.499999999996"/>
  </r>
  <r>
    <n v="163"/>
    <x v="162"/>
    <x v="0"/>
    <n v="46000"/>
    <n v="30"/>
    <x v="10"/>
    <n v="5"/>
    <n v="1840"/>
    <n v="46000"/>
    <n v="5520"/>
    <n v="345"/>
    <n v="40135"/>
  </r>
  <r>
    <n v="164"/>
    <x v="163"/>
    <x v="1"/>
    <n v="28000"/>
    <n v="30"/>
    <x v="9"/>
    <n v="2"/>
    <n v="1000"/>
    <n v="28000"/>
    <n v="3360"/>
    <n v="210"/>
    <n v="24430"/>
  </r>
  <r>
    <n v="165"/>
    <x v="164"/>
    <x v="2"/>
    <n v="33000"/>
    <n v="30"/>
    <x v="6"/>
    <n v="1"/>
    <n v="1137.9310344827586"/>
    <n v="33000"/>
    <n v="3960"/>
    <n v="247.5"/>
    <n v="28792.5"/>
  </r>
  <r>
    <n v="166"/>
    <x v="165"/>
    <x v="3"/>
    <n v="32000"/>
    <n v="30"/>
    <x v="4"/>
    <n v="7"/>
    <n v="1391.304347826087"/>
    <n v="32000"/>
    <n v="3840"/>
    <n v="240"/>
    <n v="27920"/>
  </r>
  <r>
    <n v="167"/>
    <x v="166"/>
    <x v="4"/>
    <n v="52000"/>
    <n v="30"/>
    <x v="7"/>
    <n v="4"/>
    <n v="2000"/>
    <n v="52000"/>
    <n v="6240"/>
    <n v="390"/>
    <n v="45370"/>
  </r>
  <r>
    <n v="168"/>
    <x v="167"/>
    <x v="5"/>
    <n v="27000"/>
    <n v="30"/>
    <x v="7"/>
    <n v="4"/>
    <n v="1038.4615384615386"/>
    <n v="27000.000000000004"/>
    <n v="3240.0000000000005"/>
    <n v="202.50000000000003"/>
    <n v="23557.500000000004"/>
  </r>
  <r>
    <n v="169"/>
    <x v="168"/>
    <x v="0"/>
    <n v="57000"/>
    <n v="30"/>
    <x v="9"/>
    <n v="2"/>
    <n v="2035.7142857142858"/>
    <n v="57000"/>
    <n v="6840"/>
    <n v="427.5"/>
    <n v="49732.5"/>
  </r>
  <r>
    <n v="170"/>
    <x v="169"/>
    <x v="1"/>
    <n v="31000"/>
    <n v="30"/>
    <x v="7"/>
    <n v="4"/>
    <n v="1192.3076923076924"/>
    <n v="31000"/>
    <n v="3720"/>
    <n v="232.5"/>
    <n v="27047.5"/>
  </r>
  <r>
    <n v="171"/>
    <x v="170"/>
    <x v="2"/>
    <n v="23000"/>
    <n v="30"/>
    <x v="6"/>
    <n v="1"/>
    <n v="793.1034482758621"/>
    <n v="23000"/>
    <n v="2760"/>
    <n v="172.5"/>
    <n v="20067.5"/>
  </r>
  <r>
    <n v="172"/>
    <x v="171"/>
    <x v="3"/>
    <n v="24000"/>
    <n v="30"/>
    <x v="7"/>
    <n v="4"/>
    <n v="923.0769230769231"/>
    <n v="24000"/>
    <n v="2880"/>
    <n v="180"/>
    <n v="20940"/>
  </r>
  <r>
    <n v="173"/>
    <x v="172"/>
    <x v="4"/>
    <n v="53000"/>
    <n v="30"/>
    <x v="1"/>
    <n v="0"/>
    <n v="1766.6666666666667"/>
    <n v="53000"/>
    <n v="6360"/>
    <n v="397.5"/>
    <n v="46242.5"/>
  </r>
  <r>
    <n v="174"/>
    <x v="173"/>
    <x v="5"/>
    <n v="51000"/>
    <n v="30"/>
    <x v="8"/>
    <n v="8"/>
    <n v="2318.181818181818"/>
    <n v="51000"/>
    <n v="6120"/>
    <n v="382.5"/>
    <n v="44497.5"/>
  </r>
  <r>
    <n v="175"/>
    <x v="174"/>
    <x v="0"/>
    <n v="43000"/>
    <n v="30"/>
    <x v="7"/>
    <n v="4"/>
    <n v="1653.8461538461538"/>
    <n v="43000"/>
    <n v="5160"/>
    <n v="322.5"/>
    <n v="37517.5"/>
  </r>
  <r>
    <n v="176"/>
    <x v="175"/>
    <x v="1"/>
    <n v="60000"/>
    <n v="30"/>
    <x v="1"/>
    <n v="0"/>
    <n v="2000"/>
    <n v="60000"/>
    <n v="7200"/>
    <n v="450"/>
    <n v="52350"/>
  </r>
  <r>
    <n v="177"/>
    <x v="176"/>
    <x v="2"/>
    <n v="29000"/>
    <n v="30"/>
    <x v="0"/>
    <n v="10"/>
    <n v="1450"/>
    <n v="29000"/>
    <n v="3480"/>
    <n v="217.5"/>
    <n v="25302.5"/>
  </r>
  <r>
    <n v="178"/>
    <x v="177"/>
    <x v="3"/>
    <n v="36000"/>
    <n v="30"/>
    <x v="1"/>
    <n v="0"/>
    <n v="1200"/>
    <n v="36000"/>
    <n v="4320"/>
    <n v="270"/>
    <n v="31410"/>
  </r>
  <r>
    <n v="179"/>
    <x v="178"/>
    <x v="4"/>
    <n v="32000"/>
    <n v="30"/>
    <x v="7"/>
    <n v="4"/>
    <n v="1230.7692307692307"/>
    <n v="32000"/>
    <n v="3840"/>
    <n v="240"/>
    <n v="27920"/>
  </r>
  <r>
    <n v="180"/>
    <x v="179"/>
    <x v="5"/>
    <n v="31000"/>
    <n v="30"/>
    <x v="8"/>
    <n v="8"/>
    <n v="1409.090909090909"/>
    <n v="31000"/>
    <n v="3720"/>
    <n v="232.5"/>
    <n v="27047.5"/>
  </r>
  <r>
    <n v="181"/>
    <x v="180"/>
    <x v="0"/>
    <n v="43000"/>
    <n v="30"/>
    <x v="10"/>
    <n v="5"/>
    <n v="1720"/>
    <n v="43000"/>
    <n v="5160"/>
    <n v="322.5"/>
    <n v="37517.5"/>
  </r>
  <r>
    <n v="182"/>
    <x v="181"/>
    <x v="1"/>
    <n v="37000"/>
    <n v="30"/>
    <x v="5"/>
    <n v="3"/>
    <n v="1370.3703703703704"/>
    <n v="37000"/>
    <n v="4440"/>
    <n v="277.5"/>
    <n v="32282.5"/>
  </r>
  <r>
    <n v="183"/>
    <x v="182"/>
    <x v="2"/>
    <n v="41000"/>
    <n v="30"/>
    <x v="6"/>
    <n v="1"/>
    <n v="1413.7931034482758"/>
    <n v="41000"/>
    <n v="4920"/>
    <n v="307.5"/>
    <n v="35772.5"/>
  </r>
  <r>
    <n v="184"/>
    <x v="183"/>
    <x v="3"/>
    <n v="35000"/>
    <n v="30"/>
    <x v="1"/>
    <n v="0"/>
    <n v="1166.6666666666667"/>
    <n v="35000"/>
    <n v="4200"/>
    <n v="262.5"/>
    <n v="30537.5"/>
  </r>
  <r>
    <n v="185"/>
    <x v="184"/>
    <x v="4"/>
    <n v="44000"/>
    <n v="30"/>
    <x v="1"/>
    <n v="0"/>
    <n v="1466.6666666666667"/>
    <n v="44000"/>
    <n v="5280"/>
    <n v="330"/>
    <n v="38390"/>
  </r>
  <r>
    <n v="186"/>
    <x v="185"/>
    <x v="5"/>
    <n v="43000"/>
    <n v="30"/>
    <x v="8"/>
    <n v="8"/>
    <n v="1954.5454545454545"/>
    <n v="43000"/>
    <n v="5160"/>
    <n v="322.5"/>
    <n v="37517.5"/>
  </r>
  <r>
    <n v="187"/>
    <x v="186"/>
    <x v="0"/>
    <n v="29000"/>
    <n v="30"/>
    <x v="4"/>
    <n v="7"/>
    <n v="1260.8695652173913"/>
    <n v="29000"/>
    <n v="3480"/>
    <n v="217.5"/>
    <n v="25302.5"/>
  </r>
  <r>
    <n v="188"/>
    <x v="187"/>
    <x v="1"/>
    <n v="23000"/>
    <n v="30"/>
    <x v="2"/>
    <n v="6"/>
    <n v="958.3333333333334"/>
    <n v="23000"/>
    <n v="2760"/>
    <n v="172.5"/>
    <n v="20067.5"/>
  </r>
  <r>
    <n v="189"/>
    <x v="188"/>
    <x v="2"/>
    <n v="18000"/>
    <n v="30"/>
    <x v="3"/>
    <n v="9"/>
    <n v="857.1428571428571"/>
    <n v="18000"/>
    <n v="2160"/>
    <n v="135"/>
    <n v="15705"/>
  </r>
  <r>
    <n v="190"/>
    <x v="189"/>
    <x v="3"/>
    <n v="32000"/>
    <n v="30"/>
    <x v="4"/>
    <n v="7"/>
    <n v="1391.304347826087"/>
    <n v="32000"/>
    <n v="3840"/>
    <n v="240"/>
    <n v="27920"/>
  </r>
  <r>
    <n v="191"/>
    <x v="190"/>
    <x v="4"/>
    <n v="58000"/>
    <n v="30"/>
    <x v="0"/>
    <n v="10"/>
    <n v="2900"/>
    <n v="58000"/>
    <n v="6960"/>
    <n v="435"/>
    <n v="50605"/>
  </r>
  <r>
    <n v="192"/>
    <x v="191"/>
    <x v="5"/>
    <n v="54000"/>
    <n v="30"/>
    <x v="7"/>
    <n v="4"/>
    <n v="2076.923076923077"/>
    <n v="54000.00000000001"/>
    <n v="6480.000000000001"/>
    <n v="405.00000000000006"/>
    <n v="47115.00000000001"/>
  </r>
  <r>
    <n v="193"/>
    <x v="192"/>
    <x v="0"/>
    <n v="48000"/>
    <n v="30"/>
    <x v="5"/>
    <n v="3"/>
    <n v="1777.7777777777778"/>
    <n v="48000"/>
    <n v="5760"/>
    <n v="360"/>
    <n v="41880"/>
  </r>
  <r>
    <n v="194"/>
    <x v="193"/>
    <x v="1"/>
    <n v="19000"/>
    <n v="30"/>
    <x v="4"/>
    <n v="7"/>
    <n v="826.0869565217391"/>
    <n v="19000"/>
    <n v="2280"/>
    <n v="142.5"/>
    <n v="16577.5"/>
  </r>
  <r>
    <n v="195"/>
    <x v="194"/>
    <x v="2"/>
    <n v="33000"/>
    <n v="30"/>
    <x v="9"/>
    <n v="2"/>
    <n v="1178.5714285714287"/>
    <n v="33000"/>
    <n v="3960"/>
    <n v="247.5"/>
    <n v="28792.5"/>
  </r>
  <r>
    <n v="196"/>
    <x v="195"/>
    <x v="3"/>
    <n v="28000"/>
    <n v="30"/>
    <x v="10"/>
    <n v="5"/>
    <n v="1120"/>
    <n v="28000"/>
    <n v="3360"/>
    <n v="210"/>
    <n v="24430"/>
  </r>
  <r>
    <n v="197"/>
    <x v="196"/>
    <x v="4"/>
    <n v="52000"/>
    <n v="30"/>
    <x v="6"/>
    <n v="1"/>
    <n v="1793.103448275862"/>
    <n v="52000"/>
    <n v="6240"/>
    <n v="390"/>
    <n v="45370"/>
  </r>
  <r>
    <n v="198"/>
    <x v="197"/>
    <x v="5"/>
    <n v="36000"/>
    <n v="30"/>
    <x v="6"/>
    <n v="1"/>
    <n v="1241.3793103448277"/>
    <n v="36000"/>
    <n v="4320"/>
    <n v="270"/>
    <n v="31410"/>
  </r>
  <r>
    <n v="199"/>
    <x v="198"/>
    <x v="0"/>
    <n v="37000"/>
    <n v="30"/>
    <x v="10"/>
    <n v="5"/>
    <n v="1480"/>
    <n v="37000"/>
    <n v="4440"/>
    <n v="277.5"/>
    <n v="32282.5"/>
  </r>
  <r>
    <n v="200"/>
    <x v="199"/>
    <x v="1"/>
    <n v="20000"/>
    <n v="30"/>
    <x v="2"/>
    <n v="6"/>
    <n v="833.3333333333334"/>
    <n v="20000"/>
    <n v="2400"/>
    <n v="150"/>
    <n v="17450"/>
  </r>
  <r>
    <n v="201"/>
    <x v="200"/>
    <x v="2"/>
    <n v="50000"/>
    <n v="30"/>
    <x v="2"/>
    <n v="6"/>
    <n v="2083.3333333333335"/>
    <n v="50000"/>
    <n v="6000"/>
    <n v="375"/>
    <n v="43625"/>
  </r>
  <r>
    <n v="202"/>
    <x v="201"/>
    <x v="3"/>
    <n v="35000"/>
    <n v="30"/>
    <x v="1"/>
    <n v="0"/>
    <n v="1166.6666666666667"/>
    <n v="35000"/>
    <n v="4200"/>
    <n v="262.5"/>
    <n v="30537.5"/>
  </r>
  <r>
    <n v="203"/>
    <x v="202"/>
    <x v="4"/>
    <n v="54000"/>
    <n v="30"/>
    <x v="0"/>
    <n v="10"/>
    <n v="2700"/>
    <n v="54000"/>
    <n v="6480"/>
    <n v="405"/>
    <n v="47115"/>
  </r>
  <r>
    <n v="204"/>
    <x v="203"/>
    <x v="5"/>
    <n v="40000"/>
    <n v="30"/>
    <x v="4"/>
    <n v="7"/>
    <n v="1739.1304347826087"/>
    <n v="40000"/>
    <n v="4800"/>
    <n v="300"/>
    <n v="34900"/>
  </r>
  <r>
    <n v="205"/>
    <x v="204"/>
    <x v="0"/>
    <n v="40000"/>
    <n v="30"/>
    <x v="1"/>
    <n v="0"/>
    <n v="1333.3333333333333"/>
    <n v="40000"/>
    <n v="4800"/>
    <n v="300"/>
    <n v="34900"/>
  </r>
  <r>
    <n v="206"/>
    <x v="205"/>
    <x v="1"/>
    <n v="34000"/>
    <n v="30"/>
    <x v="5"/>
    <n v="3"/>
    <n v="1259.2592592592594"/>
    <n v="34000"/>
    <n v="4080"/>
    <n v="255"/>
    <n v="29665"/>
  </r>
  <r>
    <n v="207"/>
    <x v="206"/>
    <x v="2"/>
    <n v="38000"/>
    <n v="30"/>
    <x v="8"/>
    <n v="8"/>
    <n v="1727.2727272727273"/>
    <n v="38000"/>
    <n v="4560"/>
    <n v="285"/>
    <n v="33155"/>
  </r>
  <r>
    <n v="208"/>
    <x v="207"/>
    <x v="3"/>
    <n v="55000"/>
    <n v="30"/>
    <x v="8"/>
    <n v="8"/>
    <n v="2500"/>
    <n v="55000"/>
    <n v="6600"/>
    <n v="412.5"/>
    <n v="47987.5"/>
  </r>
  <r>
    <n v="209"/>
    <x v="208"/>
    <x v="4"/>
    <n v="58000"/>
    <n v="30"/>
    <x v="7"/>
    <n v="4"/>
    <n v="2230.769230769231"/>
    <n v="58000.00000000001"/>
    <n v="6960.000000000001"/>
    <n v="435.00000000000006"/>
    <n v="50605.00000000001"/>
  </r>
  <r>
    <n v="210"/>
    <x v="209"/>
    <x v="5"/>
    <n v="43000"/>
    <n v="30"/>
    <x v="6"/>
    <n v="1"/>
    <n v="1482.7586206896551"/>
    <n v="43000"/>
    <n v="5160"/>
    <n v="322.5"/>
    <n v="37517.5"/>
  </r>
  <r>
    <n v="211"/>
    <x v="210"/>
    <x v="0"/>
    <n v="32000"/>
    <n v="30"/>
    <x v="4"/>
    <n v="7"/>
    <n v="1391.304347826087"/>
    <n v="32000"/>
    <n v="3840"/>
    <n v="240"/>
    <n v="27920"/>
  </r>
  <r>
    <n v="212"/>
    <x v="211"/>
    <x v="1"/>
    <n v="38000"/>
    <n v="30"/>
    <x v="4"/>
    <n v="7"/>
    <n v="1652.1739130434783"/>
    <n v="38000"/>
    <n v="4560"/>
    <n v="285"/>
    <n v="33155"/>
  </r>
  <r>
    <n v="213"/>
    <x v="212"/>
    <x v="2"/>
    <n v="50000"/>
    <n v="30"/>
    <x v="4"/>
    <n v="7"/>
    <n v="2173.913043478261"/>
    <n v="50000"/>
    <n v="6000"/>
    <n v="375"/>
    <n v="43625"/>
  </r>
  <r>
    <n v="214"/>
    <x v="213"/>
    <x v="3"/>
    <n v="26000"/>
    <n v="30"/>
    <x v="3"/>
    <n v="9"/>
    <n v="1238.095238095238"/>
    <n v="26000"/>
    <n v="3120"/>
    <n v="195"/>
    <n v="22685"/>
  </r>
  <r>
    <n v="215"/>
    <x v="214"/>
    <x v="4"/>
    <n v="60000"/>
    <n v="30"/>
    <x v="3"/>
    <n v="9"/>
    <n v="2857.1428571428573"/>
    <n v="60000.00000000001"/>
    <n v="7200.000000000001"/>
    <n v="450.00000000000006"/>
    <n v="52350.00000000001"/>
  </r>
  <r>
    <n v="216"/>
    <x v="215"/>
    <x v="5"/>
    <n v="23000"/>
    <n v="30"/>
    <x v="0"/>
    <n v="10"/>
    <n v="1150"/>
    <n v="23000"/>
    <n v="2760"/>
    <n v="172.5"/>
    <n v="20067.5"/>
  </r>
  <r>
    <n v="217"/>
    <x v="216"/>
    <x v="0"/>
    <n v="56000"/>
    <n v="30"/>
    <x v="5"/>
    <n v="3"/>
    <n v="2074.074074074074"/>
    <n v="55999.99999999999"/>
    <n v="6719.999999999999"/>
    <n v="419.99999999999994"/>
    <n v="48859.99999999999"/>
  </r>
  <r>
    <n v="218"/>
    <x v="217"/>
    <x v="1"/>
    <n v="20000"/>
    <n v="30"/>
    <x v="7"/>
    <n v="4"/>
    <n v="769.2307692307693"/>
    <n v="20000"/>
    <n v="2400"/>
    <n v="150"/>
    <n v="17450"/>
  </r>
  <r>
    <n v="219"/>
    <x v="218"/>
    <x v="2"/>
    <n v="23000"/>
    <n v="30"/>
    <x v="8"/>
    <n v="8"/>
    <n v="1045.4545454545455"/>
    <n v="23000"/>
    <n v="2760"/>
    <n v="172.5"/>
    <n v="20067.5"/>
  </r>
  <r>
    <n v="220"/>
    <x v="219"/>
    <x v="3"/>
    <n v="59000"/>
    <n v="30"/>
    <x v="3"/>
    <n v="9"/>
    <n v="2809.5238095238096"/>
    <n v="59000"/>
    <n v="7080"/>
    <n v="442.5"/>
    <n v="51477.5"/>
  </r>
  <r>
    <n v="221"/>
    <x v="220"/>
    <x v="4"/>
    <n v="41000"/>
    <n v="30"/>
    <x v="10"/>
    <n v="5"/>
    <n v="1640"/>
    <n v="41000"/>
    <n v="4920"/>
    <n v="307.5"/>
    <n v="35772.5"/>
  </r>
  <r>
    <n v="222"/>
    <x v="221"/>
    <x v="5"/>
    <n v="30000"/>
    <n v="30"/>
    <x v="2"/>
    <n v="6"/>
    <n v="1250"/>
    <n v="30000"/>
    <n v="3600"/>
    <n v="225"/>
    <n v="26175"/>
  </r>
  <r>
    <n v="223"/>
    <x v="222"/>
    <x v="0"/>
    <n v="15000"/>
    <n v="30"/>
    <x v="7"/>
    <n v="4"/>
    <n v="576.9230769230769"/>
    <n v="15000"/>
    <n v="1800"/>
    <n v="112.5"/>
    <n v="13087.5"/>
  </r>
  <r>
    <n v="224"/>
    <x v="223"/>
    <x v="1"/>
    <n v="20000"/>
    <n v="30"/>
    <x v="8"/>
    <n v="8"/>
    <n v="909.0909090909091"/>
    <n v="20000"/>
    <n v="2400"/>
    <n v="150"/>
    <n v="17450"/>
  </r>
  <r>
    <n v="225"/>
    <x v="224"/>
    <x v="2"/>
    <n v="20000"/>
    <n v="30"/>
    <x v="9"/>
    <n v="2"/>
    <n v="714.2857142857143"/>
    <n v="20000"/>
    <n v="2400"/>
    <n v="150"/>
    <n v="17450"/>
  </r>
  <r>
    <n v="226"/>
    <x v="225"/>
    <x v="3"/>
    <n v="53000"/>
    <n v="30"/>
    <x v="4"/>
    <n v="7"/>
    <n v="2304.3478260869565"/>
    <n v="53000"/>
    <n v="6360"/>
    <n v="397.5"/>
    <n v="46242.5"/>
  </r>
  <r>
    <n v="227"/>
    <x v="226"/>
    <x v="4"/>
    <n v="40000"/>
    <n v="30"/>
    <x v="10"/>
    <n v="5"/>
    <n v="1600"/>
    <n v="40000"/>
    <n v="4800"/>
    <n v="300"/>
    <n v="34900"/>
  </r>
  <r>
    <n v="228"/>
    <x v="227"/>
    <x v="5"/>
    <n v="50000"/>
    <n v="30"/>
    <x v="1"/>
    <n v="0"/>
    <n v="1666.6666666666667"/>
    <n v="50000"/>
    <n v="6000"/>
    <n v="375"/>
    <n v="43625"/>
  </r>
  <r>
    <n v="229"/>
    <x v="228"/>
    <x v="0"/>
    <n v="36000"/>
    <n v="30"/>
    <x v="0"/>
    <n v="10"/>
    <n v="1800"/>
    <n v="36000"/>
    <n v="4320"/>
    <n v="270"/>
    <n v="31410"/>
  </r>
  <r>
    <n v="230"/>
    <x v="229"/>
    <x v="1"/>
    <n v="48000"/>
    <n v="30"/>
    <x v="8"/>
    <n v="8"/>
    <n v="2181.818181818182"/>
    <n v="48000"/>
    <n v="5760"/>
    <n v="360"/>
    <n v="41880"/>
  </r>
  <r>
    <n v="231"/>
    <x v="230"/>
    <x v="2"/>
    <n v="35000"/>
    <n v="30"/>
    <x v="0"/>
    <n v="10"/>
    <n v="1750"/>
    <n v="35000"/>
    <n v="4200"/>
    <n v="262.5"/>
    <n v="30537.5"/>
  </r>
  <r>
    <n v="232"/>
    <x v="231"/>
    <x v="3"/>
    <n v="23000"/>
    <n v="30"/>
    <x v="1"/>
    <n v="0"/>
    <n v="766.6666666666666"/>
    <n v="23000"/>
    <n v="2760"/>
    <n v="172.5"/>
    <n v="20067.5"/>
  </r>
  <r>
    <n v="233"/>
    <x v="232"/>
    <x v="4"/>
    <n v="47000"/>
    <n v="30"/>
    <x v="1"/>
    <n v="0"/>
    <n v="1566.6666666666667"/>
    <n v="47000"/>
    <n v="5640"/>
    <n v="352.5"/>
    <n v="41007.5"/>
  </r>
  <r>
    <n v="234"/>
    <x v="233"/>
    <x v="5"/>
    <n v="60000"/>
    <n v="30"/>
    <x v="5"/>
    <n v="3"/>
    <n v="2222.222222222222"/>
    <n v="60000"/>
    <n v="7200"/>
    <n v="450"/>
    <n v="52350"/>
  </r>
  <r>
    <n v="235"/>
    <x v="234"/>
    <x v="0"/>
    <n v="40000"/>
    <n v="30"/>
    <x v="1"/>
    <n v="0"/>
    <n v="1333.3333333333333"/>
    <n v="40000"/>
    <n v="4800"/>
    <n v="300"/>
    <n v="34900"/>
  </r>
  <r>
    <n v="236"/>
    <x v="235"/>
    <x v="1"/>
    <n v="51000"/>
    <n v="30"/>
    <x v="8"/>
    <n v="8"/>
    <n v="2318.181818181818"/>
    <n v="51000"/>
    <n v="6120"/>
    <n v="382.5"/>
    <n v="44497.5"/>
  </r>
  <r>
    <n v="237"/>
    <x v="236"/>
    <x v="2"/>
    <n v="53000"/>
    <n v="30"/>
    <x v="6"/>
    <n v="1"/>
    <n v="1827.5862068965516"/>
    <n v="53000"/>
    <n v="6360"/>
    <n v="397.5"/>
    <n v="46242.5"/>
  </r>
  <r>
    <n v="238"/>
    <x v="237"/>
    <x v="3"/>
    <n v="51000"/>
    <n v="30"/>
    <x v="7"/>
    <n v="4"/>
    <n v="1961.5384615384614"/>
    <n v="51000"/>
    <n v="6120"/>
    <n v="382.5"/>
    <n v="44497.5"/>
  </r>
  <r>
    <n v="239"/>
    <x v="238"/>
    <x v="4"/>
    <n v="20000"/>
    <n v="30"/>
    <x v="8"/>
    <n v="8"/>
    <n v="909.0909090909091"/>
    <n v="20000"/>
    <n v="2400"/>
    <n v="150"/>
    <n v="17450"/>
  </r>
  <r>
    <n v="240"/>
    <x v="239"/>
    <x v="5"/>
    <n v="39000"/>
    <n v="30"/>
    <x v="0"/>
    <n v="10"/>
    <n v="1950"/>
    <n v="39000"/>
    <n v="4680"/>
    <n v="292.5"/>
    <n v="34027.5"/>
  </r>
  <r>
    <n v="241"/>
    <x v="240"/>
    <x v="0"/>
    <n v="36000"/>
    <n v="30"/>
    <x v="4"/>
    <n v="7"/>
    <n v="1565.2173913043478"/>
    <n v="36000"/>
    <n v="4320"/>
    <n v="270"/>
    <n v="31410"/>
  </r>
  <r>
    <n v="242"/>
    <x v="241"/>
    <x v="1"/>
    <n v="31000"/>
    <n v="30"/>
    <x v="10"/>
    <n v="5"/>
    <n v="1240"/>
    <n v="31000"/>
    <n v="3720"/>
    <n v="232.5"/>
    <n v="27047.5"/>
  </r>
  <r>
    <n v="243"/>
    <x v="242"/>
    <x v="2"/>
    <n v="33000"/>
    <n v="30"/>
    <x v="10"/>
    <n v="5"/>
    <n v="1320"/>
    <n v="33000"/>
    <n v="3960"/>
    <n v="247.5"/>
    <n v="28792.5"/>
  </r>
  <r>
    <n v="244"/>
    <x v="243"/>
    <x v="3"/>
    <n v="16000"/>
    <n v="30"/>
    <x v="4"/>
    <n v="7"/>
    <n v="695.6521739130435"/>
    <n v="16000"/>
    <n v="1920"/>
    <n v="120"/>
    <n v="13960"/>
  </r>
  <r>
    <n v="245"/>
    <x v="244"/>
    <x v="4"/>
    <n v="55000"/>
    <n v="30"/>
    <x v="1"/>
    <n v="0"/>
    <n v="1833.3333333333333"/>
    <n v="55000"/>
    <n v="6600"/>
    <n v="412.5"/>
    <n v="47987.5"/>
  </r>
  <r>
    <n v="246"/>
    <x v="245"/>
    <x v="5"/>
    <n v="20000"/>
    <n v="30"/>
    <x v="5"/>
    <n v="3"/>
    <n v="740.7407407407408"/>
    <n v="20000"/>
    <n v="2400"/>
    <n v="150"/>
    <n v="17450"/>
  </r>
  <r>
    <n v="247"/>
    <x v="246"/>
    <x v="0"/>
    <n v="44000"/>
    <n v="30"/>
    <x v="5"/>
    <n v="3"/>
    <n v="1629.6296296296296"/>
    <n v="44000"/>
    <n v="5280"/>
    <n v="330"/>
    <n v="38390"/>
  </r>
  <r>
    <n v="248"/>
    <x v="247"/>
    <x v="1"/>
    <n v="60000"/>
    <n v="30"/>
    <x v="9"/>
    <n v="2"/>
    <n v="2142.8571428571427"/>
    <n v="59999.99999999999"/>
    <n v="7199.999999999999"/>
    <n v="449.99999999999994"/>
    <n v="52349.99999999999"/>
  </r>
  <r>
    <n v="249"/>
    <x v="248"/>
    <x v="2"/>
    <n v="48000"/>
    <n v="30"/>
    <x v="5"/>
    <n v="3"/>
    <n v="1777.7777777777778"/>
    <n v="48000"/>
    <n v="5760"/>
    <n v="360"/>
    <n v="41880"/>
  </r>
  <r>
    <n v="250"/>
    <x v="249"/>
    <x v="3"/>
    <n v="16000"/>
    <n v="30"/>
    <x v="7"/>
    <n v="4"/>
    <n v="615.3846153846154"/>
    <n v="16000"/>
    <n v="1920"/>
    <n v="120"/>
    <n v="13960"/>
  </r>
  <r>
    <n v="251"/>
    <x v="250"/>
    <x v="4"/>
    <n v="30000"/>
    <n v="30"/>
    <x v="4"/>
    <n v="7"/>
    <n v="1304.3478260869565"/>
    <n v="30000"/>
    <n v="3600"/>
    <n v="225"/>
    <n v="26175"/>
  </r>
  <r>
    <n v="252"/>
    <x v="251"/>
    <x v="5"/>
    <n v="15000"/>
    <n v="30"/>
    <x v="3"/>
    <n v="9"/>
    <n v="714.2857142857143"/>
    <n v="15000.000000000002"/>
    <n v="1800.0000000000002"/>
    <n v="112.50000000000001"/>
    <n v="13087.500000000002"/>
  </r>
  <r>
    <n v="253"/>
    <x v="252"/>
    <x v="0"/>
    <n v="22000"/>
    <n v="30"/>
    <x v="3"/>
    <n v="9"/>
    <n v="1047.6190476190477"/>
    <n v="22000"/>
    <n v="2640"/>
    <n v="165"/>
    <n v="19195"/>
  </r>
  <r>
    <n v="254"/>
    <x v="253"/>
    <x v="1"/>
    <n v="60000"/>
    <n v="30"/>
    <x v="0"/>
    <n v="10"/>
    <n v="3000"/>
    <n v="60000"/>
    <n v="7200"/>
    <n v="450"/>
    <n v="52350"/>
  </r>
  <r>
    <n v="255"/>
    <x v="254"/>
    <x v="2"/>
    <n v="23000"/>
    <n v="30"/>
    <x v="4"/>
    <n v="7"/>
    <n v="1000"/>
    <n v="23000"/>
    <n v="2760"/>
    <n v="172.5"/>
    <n v="20067.5"/>
  </r>
  <r>
    <n v="256"/>
    <x v="255"/>
    <x v="3"/>
    <n v="31000"/>
    <n v="30"/>
    <x v="10"/>
    <n v="5"/>
    <n v="1240"/>
    <n v="31000"/>
    <n v="3720"/>
    <n v="232.5"/>
    <n v="27047.5"/>
  </r>
  <r>
    <n v="257"/>
    <x v="256"/>
    <x v="4"/>
    <n v="16000"/>
    <n v="30"/>
    <x v="2"/>
    <n v="6"/>
    <n v="666.6666666666666"/>
    <n v="16000"/>
    <n v="1920"/>
    <n v="120"/>
    <n v="13960"/>
  </r>
  <r>
    <n v="258"/>
    <x v="257"/>
    <x v="5"/>
    <n v="47000"/>
    <n v="30"/>
    <x v="1"/>
    <n v="0"/>
    <n v="1566.6666666666667"/>
    <n v="47000"/>
    <n v="5640"/>
    <n v="352.5"/>
    <n v="41007.5"/>
  </r>
  <r>
    <n v="259"/>
    <x v="258"/>
    <x v="0"/>
    <n v="32000"/>
    <n v="30"/>
    <x v="1"/>
    <n v="0"/>
    <n v="1066.6666666666667"/>
    <n v="32000.000000000004"/>
    <n v="3840.0000000000005"/>
    <n v="240.00000000000003"/>
    <n v="27920.000000000004"/>
  </r>
  <r>
    <n v="260"/>
    <x v="259"/>
    <x v="1"/>
    <n v="26000"/>
    <n v="30"/>
    <x v="10"/>
    <n v="5"/>
    <n v="1040"/>
    <n v="26000"/>
    <n v="3120"/>
    <n v="195"/>
    <n v="22685"/>
  </r>
  <r>
    <n v="261"/>
    <x v="260"/>
    <x v="2"/>
    <n v="31000"/>
    <n v="30"/>
    <x v="0"/>
    <n v="10"/>
    <n v="1550"/>
    <n v="31000"/>
    <n v="3720"/>
    <n v="232.5"/>
    <n v="27047.5"/>
  </r>
  <r>
    <n v="262"/>
    <x v="261"/>
    <x v="3"/>
    <n v="15000"/>
    <n v="30"/>
    <x v="2"/>
    <n v="6"/>
    <n v="625"/>
    <n v="15000"/>
    <n v="1800"/>
    <n v="112.5"/>
    <n v="13087.5"/>
  </r>
  <r>
    <n v="263"/>
    <x v="262"/>
    <x v="4"/>
    <n v="36000"/>
    <n v="30"/>
    <x v="10"/>
    <n v="5"/>
    <n v="1440"/>
    <n v="36000"/>
    <n v="4320"/>
    <n v="270"/>
    <n v="31410"/>
  </r>
  <r>
    <n v="264"/>
    <x v="263"/>
    <x v="5"/>
    <n v="49000"/>
    <n v="30"/>
    <x v="2"/>
    <n v="6"/>
    <n v="2041.6666666666667"/>
    <n v="49000"/>
    <n v="5880"/>
    <n v="367.5"/>
    <n v="42752.5"/>
  </r>
  <r>
    <n v="265"/>
    <x v="264"/>
    <x v="0"/>
    <n v="42000"/>
    <n v="30"/>
    <x v="3"/>
    <n v="9"/>
    <n v="2000"/>
    <n v="42000"/>
    <n v="5040"/>
    <n v="315"/>
    <n v="36645"/>
  </r>
  <r>
    <n v="266"/>
    <x v="265"/>
    <x v="1"/>
    <n v="32000"/>
    <n v="30"/>
    <x v="5"/>
    <n v="3"/>
    <n v="1185.1851851851852"/>
    <n v="32000"/>
    <n v="3840"/>
    <n v="240"/>
    <n v="27920"/>
  </r>
  <r>
    <n v="267"/>
    <x v="266"/>
    <x v="2"/>
    <n v="55000"/>
    <n v="30"/>
    <x v="0"/>
    <n v="10"/>
    <n v="2750"/>
    <n v="55000"/>
    <n v="6600"/>
    <n v="412.5"/>
    <n v="47987.5"/>
  </r>
  <r>
    <n v="268"/>
    <x v="267"/>
    <x v="3"/>
    <n v="58000"/>
    <n v="30"/>
    <x v="2"/>
    <n v="6"/>
    <n v="2416.6666666666665"/>
    <n v="58000"/>
    <n v="6960"/>
    <n v="435"/>
    <n v="50605"/>
  </r>
  <r>
    <n v="269"/>
    <x v="268"/>
    <x v="4"/>
    <n v="18000"/>
    <n v="30"/>
    <x v="5"/>
    <n v="3"/>
    <n v="666.6666666666666"/>
    <n v="18000"/>
    <n v="2160"/>
    <n v="135"/>
    <n v="15705"/>
  </r>
  <r>
    <n v="270"/>
    <x v="269"/>
    <x v="5"/>
    <n v="48000"/>
    <n v="30"/>
    <x v="10"/>
    <n v="5"/>
    <n v="1920"/>
    <n v="48000"/>
    <n v="5760"/>
    <n v="360"/>
    <n v="41880"/>
  </r>
  <r>
    <n v="271"/>
    <x v="270"/>
    <x v="0"/>
    <n v="25000"/>
    <n v="30"/>
    <x v="10"/>
    <n v="5"/>
    <n v="1000"/>
    <n v="25000"/>
    <n v="3000"/>
    <n v="187.5"/>
    <n v="21812.5"/>
  </r>
  <r>
    <n v="272"/>
    <x v="271"/>
    <x v="1"/>
    <n v="17000"/>
    <n v="30"/>
    <x v="8"/>
    <n v="8"/>
    <n v="772.7272727272727"/>
    <n v="17000"/>
    <n v="2040"/>
    <n v="127.5"/>
    <n v="14832.5"/>
  </r>
  <r>
    <n v="273"/>
    <x v="272"/>
    <x v="2"/>
    <n v="44000"/>
    <n v="30"/>
    <x v="6"/>
    <n v="1"/>
    <n v="1517.2413793103449"/>
    <n v="44000"/>
    <n v="5280"/>
    <n v="330"/>
    <n v="38390"/>
  </r>
  <r>
    <n v="274"/>
    <x v="273"/>
    <x v="3"/>
    <n v="50000"/>
    <n v="30"/>
    <x v="10"/>
    <n v="5"/>
    <n v="2000"/>
    <n v="50000"/>
    <n v="6000"/>
    <n v="375"/>
    <n v="43625"/>
  </r>
  <r>
    <n v="275"/>
    <x v="274"/>
    <x v="4"/>
    <n v="26000"/>
    <n v="30"/>
    <x v="8"/>
    <n v="8"/>
    <n v="1181.8181818181818"/>
    <n v="26000"/>
    <n v="3120"/>
    <n v="195"/>
    <n v="22685"/>
  </r>
  <r>
    <n v="276"/>
    <x v="275"/>
    <x v="5"/>
    <n v="47000"/>
    <n v="30"/>
    <x v="1"/>
    <n v="0"/>
    <n v="1566.6666666666667"/>
    <n v="47000"/>
    <n v="5640"/>
    <n v="352.5"/>
    <n v="41007.5"/>
  </r>
  <r>
    <n v="277"/>
    <x v="276"/>
    <x v="0"/>
    <n v="37000"/>
    <n v="30"/>
    <x v="0"/>
    <n v="10"/>
    <n v="1850"/>
    <n v="37000"/>
    <n v="4440"/>
    <n v="277.5"/>
    <n v="32282.5"/>
  </r>
  <r>
    <n v="278"/>
    <x v="277"/>
    <x v="1"/>
    <n v="54000"/>
    <n v="30"/>
    <x v="9"/>
    <n v="2"/>
    <n v="1928.5714285714287"/>
    <n v="54000"/>
    <n v="6480"/>
    <n v="405"/>
    <n v="47115"/>
  </r>
  <r>
    <n v="279"/>
    <x v="278"/>
    <x v="2"/>
    <n v="18000"/>
    <n v="30"/>
    <x v="8"/>
    <n v="8"/>
    <n v="818.1818181818181"/>
    <n v="18000"/>
    <n v="2160"/>
    <n v="135"/>
    <n v="15705"/>
  </r>
  <r>
    <n v="280"/>
    <x v="279"/>
    <x v="3"/>
    <n v="24000"/>
    <n v="30"/>
    <x v="0"/>
    <n v="10"/>
    <n v="1200"/>
    <n v="24000"/>
    <n v="2880"/>
    <n v="180"/>
    <n v="20940"/>
  </r>
  <r>
    <n v="281"/>
    <x v="280"/>
    <x v="4"/>
    <n v="43000"/>
    <n v="30"/>
    <x v="2"/>
    <n v="6"/>
    <n v="1791.6666666666667"/>
    <n v="43000"/>
    <n v="5160"/>
    <n v="322.5"/>
    <n v="37517.5"/>
  </r>
  <r>
    <n v="282"/>
    <x v="281"/>
    <x v="5"/>
    <n v="33000"/>
    <n v="30"/>
    <x v="0"/>
    <n v="10"/>
    <n v="1650"/>
    <n v="33000"/>
    <n v="3960"/>
    <n v="247.5"/>
    <n v="28792.5"/>
  </r>
  <r>
    <n v="283"/>
    <x v="282"/>
    <x v="0"/>
    <n v="45000"/>
    <n v="30"/>
    <x v="6"/>
    <n v="1"/>
    <n v="1551.7241379310344"/>
    <n v="45000"/>
    <n v="5400"/>
    <n v="337.5"/>
    <n v="39262.5"/>
  </r>
  <r>
    <n v="284"/>
    <x v="283"/>
    <x v="1"/>
    <n v="51000"/>
    <n v="30"/>
    <x v="5"/>
    <n v="3"/>
    <n v="1888.888888888889"/>
    <n v="51000"/>
    <n v="6120"/>
    <n v="382.5"/>
    <n v="44497.5"/>
  </r>
  <r>
    <n v="285"/>
    <x v="284"/>
    <x v="2"/>
    <n v="60000"/>
    <n v="30"/>
    <x v="1"/>
    <n v="0"/>
    <n v="2000"/>
    <n v="60000"/>
    <n v="7200"/>
    <n v="450"/>
    <n v="52350"/>
  </r>
  <r>
    <n v="286"/>
    <x v="285"/>
    <x v="3"/>
    <n v="42000"/>
    <n v="30"/>
    <x v="5"/>
    <n v="3"/>
    <n v="1555.5555555555557"/>
    <n v="42000"/>
    <n v="5040"/>
    <n v="315"/>
    <n v="36645"/>
  </r>
  <r>
    <n v="287"/>
    <x v="286"/>
    <x v="4"/>
    <n v="32000"/>
    <n v="30"/>
    <x v="5"/>
    <n v="3"/>
    <n v="1185.1851851851852"/>
    <n v="32000"/>
    <n v="3840"/>
    <n v="240"/>
    <n v="27920"/>
  </r>
  <r>
    <n v="288"/>
    <x v="287"/>
    <x v="5"/>
    <n v="33000"/>
    <n v="30"/>
    <x v="2"/>
    <n v="6"/>
    <n v="1375"/>
    <n v="33000"/>
    <n v="3960"/>
    <n v="247.5"/>
    <n v="28792.5"/>
  </r>
  <r>
    <n v="289"/>
    <x v="288"/>
    <x v="0"/>
    <n v="16000"/>
    <n v="30"/>
    <x v="9"/>
    <n v="2"/>
    <n v="571.4285714285714"/>
    <n v="16000"/>
    <n v="1920"/>
    <n v="120"/>
    <n v="13960"/>
  </r>
  <r>
    <n v="290"/>
    <x v="289"/>
    <x v="1"/>
    <n v="32000"/>
    <n v="30"/>
    <x v="4"/>
    <n v="7"/>
    <n v="1391.304347826087"/>
    <n v="32000"/>
    <n v="3840"/>
    <n v="240"/>
    <n v="27920"/>
  </r>
  <r>
    <n v="291"/>
    <x v="290"/>
    <x v="2"/>
    <n v="35000"/>
    <n v="30"/>
    <x v="10"/>
    <n v="5"/>
    <n v="1400"/>
    <n v="35000"/>
    <n v="4200"/>
    <n v="262.5"/>
    <n v="30537.5"/>
  </r>
  <r>
    <n v="292"/>
    <x v="291"/>
    <x v="3"/>
    <n v="23000"/>
    <n v="30"/>
    <x v="5"/>
    <n v="3"/>
    <n v="851.8518518518518"/>
    <n v="23000"/>
    <n v="2760"/>
    <n v="172.5"/>
    <n v="20067.5"/>
  </r>
  <r>
    <n v="293"/>
    <x v="292"/>
    <x v="4"/>
    <n v="49000"/>
    <n v="30"/>
    <x v="5"/>
    <n v="3"/>
    <n v="1814.8148148148148"/>
    <n v="49000"/>
    <n v="5880"/>
    <n v="367.5"/>
    <n v="42752.5"/>
  </r>
  <r>
    <n v="294"/>
    <x v="293"/>
    <x v="5"/>
    <n v="24000"/>
    <n v="30"/>
    <x v="6"/>
    <n v="1"/>
    <n v="827.5862068965517"/>
    <n v="24000"/>
    <n v="2880"/>
    <n v="180"/>
    <n v="20940"/>
  </r>
  <r>
    <n v="295"/>
    <x v="294"/>
    <x v="0"/>
    <n v="17000"/>
    <n v="30"/>
    <x v="8"/>
    <n v="8"/>
    <n v="772.7272727272727"/>
    <n v="17000"/>
    <n v="2040"/>
    <n v="127.5"/>
    <n v="14832.5"/>
  </r>
  <r>
    <n v="296"/>
    <x v="295"/>
    <x v="1"/>
    <n v="17000"/>
    <n v="30"/>
    <x v="10"/>
    <n v="5"/>
    <n v="680"/>
    <n v="17000"/>
    <n v="2040"/>
    <n v="127.5"/>
    <n v="14832.5"/>
  </r>
  <r>
    <n v="297"/>
    <x v="296"/>
    <x v="2"/>
    <n v="31000"/>
    <n v="30"/>
    <x v="6"/>
    <n v="1"/>
    <n v="1068.9655172413793"/>
    <n v="31000"/>
    <n v="3720"/>
    <n v="232.5"/>
    <n v="27047.5"/>
  </r>
  <r>
    <n v="298"/>
    <x v="297"/>
    <x v="3"/>
    <n v="58000"/>
    <n v="30"/>
    <x v="2"/>
    <n v="6"/>
    <n v="2416.6666666666665"/>
    <n v="58000"/>
    <n v="6960"/>
    <n v="435"/>
    <n v="50605"/>
  </r>
  <r>
    <n v="299"/>
    <x v="298"/>
    <x v="4"/>
    <n v="58000"/>
    <n v="30"/>
    <x v="6"/>
    <n v="1"/>
    <n v="2000"/>
    <n v="58000"/>
    <n v="6960"/>
    <n v="435"/>
    <n v="50605"/>
  </r>
  <r>
    <n v="300"/>
    <x v="299"/>
    <x v="5"/>
    <n v="47000"/>
    <n v="30"/>
    <x v="3"/>
    <n v="9"/>
    <n v="2238.095238095238"/>
    <n v="47000"/>
    <n v="5640"/>
    <n v="352.5"/>
    <n v="41007.5"/>
  </r>
  <r>
    <n v="301"/>
    <x v="300"/>
    <x v="0"/>
    <n v="22000"/>
    <n v="30"/>
    <x v="4"/>
    <n v="7"/>
    <n v="956.5217391304348"/>
    <n v="22000"/>
    <n v="2640"/>
    <n v="165"/>
    <n v="19195"/>
  </r>
  <r>
    <n v="302"/>
    <x v="301"/>
    <x v="1"/>
    <n v="49000"/>
    <n v="30"/>
    <x v="2"/>
    <n v="6"/>
    <n v="2041.6666666666667"/>
    <n v="49000"/>
    <n v="5880"/>
    <n v="367.5"/>
    <n v="42752.5"/>
  </r>
  <r>
    <n v="303"/>
    <x v="302"/>
    <x v="2"/>
    <n v="57000"/>
    <n v="30"/>
    <x v="2"/>
    <n v="6"/>
    <n v="2375"/>
    <n v="57000"/>
    <n v="6840"/>
    <n v="427.5"/>
    <n v="49732.5"/>
  </r>
  <r>
    <n v="304"/>
    <x v="303"/>
    <x v="3"/>
    <n v="33000"/>
    <n v="30"/>
    <x v="1"/>
    <n v="0"/>
    <n v="1100"/>
    <n v="33000"/>
    <n v="3960"/>
    <n v="247.5"/>
    <n v="28792.5"/>
  </r>
  <r>
    <n v="305"/>
    <x v="304"/>
    <x v="4"/>
    <n v="34000"/>
    <n v="30"/>
    <x v="8"/>
    <n v="8"/>
    <n v="1545.4545454545455"/>
    <n v="34000"/>
    <n v="4080"/>
    <n v="255"/>
    <n v="29665"/>
  </r>
  <r>
    <n v="306"/>
    <x v="305"/>
    <x v="5"/>
    <n v="23000"/>
    <n v="30"/>
    <x v="0"/>
    <n v="10"/>
    <n v="1150"/>
    <n v="23000"/>
    <n v="2760"/>
    <n v="172.5"/>
    <n v="20067.5"/>
  </r>
  <r>
    <n v="307"/>
    <x v="306"/>
    <x v="0"/>
    <n v="36000"/>
    <n v="30"/>
    <x v="6"/>
    <n v="1"/>
    <n v="1241.3793103448277"/>
    <n v="36000"/>
    <n v="4320"/>
    <n v="270"/>
    <n v="31410"/>
  </r>
  <r>
    <n v="308"/>
    <x v="307"/>
    <x v="1"/>
    <n v="28000"/>
    <n v="30"/>
    <x v="0"/>
    <n v="10"/>
    <n v="1400"/>
    <n v="28000"/>
    <n v="3360"/>
    <n v="210"/>
    <n v="24430"/>
  </r>
  <r>
    <n v="309"/>
    <x v="308"/>
    <x v="2"/>
    <n v="27000"/>
    <n v="30"/>
    <x v="0"/>
    <n v="10"/>
    <n v="1350"/>
    <n v="27000"/>
    <n v="3240"/>
    <n v="202.5"/>
    <n v="23557.5"/>
  </r>
  <r>
    <n v="310"/>
    <x v="309"/>
    <x v="3"/>
    <n v="50000"/>
    <n v="30"/>
    <x v="2"/>
    <n v="6"/>
    <n v="2083.3333333333335"/>
    <n v="50000"/>
    <n v="6000"/>
    <n v="375"/>
    <n v="43625"/>
  </r>
  <r>
    <n v="311"/>
    <x v="310"/>
    <x v="4"/>
    <n v="38000"/>
    <n v="30"/>
    <x v="4"/>
    <n v="7"/>
    <n v="1652.1739130434783"/>
    <n v="38000"/>
    <n v="4560"/>
    <n v="285"/>
    <n v="33155"/>
  </r>
  <r>
    <n v="312"/>
    <x v="311"/>
    <x v="5"/>
    <n v="57000"/>
    <n v="30"/>
    <x v="3"/>
    <n v="9"/>
    <n v="2714.285714285714"/>
    <n v="57000"/>
    <n v="6840"/>
    <n v="427.5"/>
    <n v="49732.5"/>
  </r>
  <r>
    <n v="313"/>
    <x v="312"/>
    <x v="0"/>
    <n v="18000"/>
    <n v="30"/>
    <x v="3"/>
    <n v="9"/>
    <n v="857.1428571428571"/>
    <n v="18000"/>
    <n v="2160"/>
    <n v="135"/>
    <n v="15705"/>
  </r>
  <r>
    <n v="314"/>
    <x v="313"/>
    <x v="1"/>
    <n v="25000"/>
    <n v="30"/>
    <x v="9"/>
    <n v="2"/>
    <n v="892.8571428571429"/>
    <n v="25000"/>
    <n v="3000"/>
    <n v="187.5"/>
    <n v="21812.5"/>
  </r>
  <r>
    <n v="315"/>
    <x v="314"/>
    <x v="2"/>
    <n v="28000"/>
    <n v="30"/>
    <x v="5"/>
    <n v="3"/>
    <n v="1037.037037037037"/>
    <n v="27999.999999999996"/>
    <n v="3359.9999999999995"/>
    <n v="209.99999999999997"/>
    <n v="24429.999999999996"/>
  </r>
  <r>
    <n v="316"/>
    <x v="315"/>
    <x v="3"/>
    <n v="25000"/>
    <n v="30"/>
    <x v="5"/>
    <n v="3"/>
    <n v="925.925925925926"/>
    <n v="25000"/>
    <n v="3000"/>
    <n v="187.5"/>
    <n v="21812.5"/>
  </r>
  <r>
    <n v="317"/>
    <x v="316"/>
    <x v="4"/>
    <n v="36000"/>
    <n v="30"/>
    <x v="6"/>
    <n v="1"/>
    <n v="1241.3793103448277"/>
    <n v="36000"/>
    <n v="4320"/>
    <n v="270"/>
    <n v="31410"/>
  </r>
  <r>
    <n v="318"/>
    <x v="317"/>
    <x v="5"/>
    <n v="44000"/>
    <n v="30"/>
    <x v="8"/>
    <n v="8"/>
    <n v="2000"/>
    <n v="44000"/>
    <n v="5280"/>
    <n v="330"/>
    <n v="38390"/>
  </r>
  <r>
    <n v="319"/>
    <x v="318"/>
    <x v="0"/>
    <n v="55000"/>
    <n v="30"/>
    <x v="2"/>
    <n v="6"/>
    <n v="2291.6666666666665"/>
    <n v="55000"/>
    <n v="6600"/>
    <n v="412.5"/>
    <n v="47987.5"/>
  </r>
  <r>
    <n v="320"/>
    <x v="319"/>
    <x v="1"/>
    <n v="31000"/>
    <n v="30"/>
    <x v="0"/>
    <n v="10"/>
    <n v="1550"/>
    <n v="31000"/>
    <n v="3720"/>
    <n v="232.5"/>
    <n v="27047.5"/>
  </r>
  <r>
    <n v="321"/>
    <x v="320"/>
    <x v="2"/>
    <n v="56000"/>
    <n v="30"/>
    <x v="5"/>
    <n v="3"/>
    <n v="2074.074074074074"/>
    <n v="55999.99999999999"/>
    <n v="6719.999999999999"/>
    <n v="419.99999999999994"/>
    <n v="48859.99999999999"/>
  </r>
  <r>
    <n v="322"/>
    <x v="321"/>
    <x v="3"/>
    <n v="48000"/>
    <n v="30"/>
    <x v="1"/>
    <n v="0"/>
    <n v="1600"/>
    <n v="48000"/>
    <n v="5760"/>
    <n v="360"/>
    <n v="41880"/>
  </r>
  <r>
    <n v="323"/>
    <x v="322"/>
    <x v="4"/>
    <n v="57000"/>
    <n v="30"/>
    <x v="3"/>
    <n v="9"/>
    <n v="2714.285714285714"/>
    <n v="57000"/>
    <n v="6840"/>
    <n v="427.5"/>
    <n v="49732.5"/>
  </r>
  <r>
    <n v="324"/>
    <x v="323"/>
    <x v="5"/>
    <n v="43000"/>
    <n v="30"/>
    <x v="7"/>
    <n v="4"/>
    <n v="1653.8461538461538"/>
    <n v="43000"/>
    <n v="5160"/>
    <n v="322.5"/>
    <n v="37517.5"/>
  </r>
  <r>
    <n v="325"/>
    <x v="324"/>
    <x v="0"/>
    <n v="44000"/>
    <n v="30"/>
    <x v="1"/>
    <n v="0"/>
    <n v="1466.6666666666667"/>
    <n v="44000"/>
    <n v="5280"/>
    <n v="330"/>
    <n v="38390"/>
  </r>
  <r>
    <n v="326"/>
    <x v="325"/>
    <x v="1"/>
    <n v="30000"/>
    <n v="30"/>
    <x v="7"/>
    <n v="4"/>
    <n v="1153.8461538461538"/>
    <n v="30000"/>
    <n v="3600"/>
    <n v="225"/>
    <n v="26175"/>
  </r>
  <r>
    <n v="327"/>
    <x v="326"/>
    <x v="2"/>
    <n v="46000"/>
    <n v="30"/>
    <x v="3"/>
    <n v="9"/>
    <n v="2190.4761904761904"/>
    <n v="46000"/>
    <n v="5520"/>
    <n v="345"/>
    <n v="40135"/>
  </r>
  <r>
    <n v="328"/>
    <x v="327"/>
    <x v="3"/>
    <n v="18000"/>
    <n v="30"/>
    <x v="4"/>
    <n v="7"/>
    <n v="782.6086956521739"/>
    <n v="18000"/>
    <n v="2160"/>
    <n v="135"/>
    <n v="15705"/>
  </r>
  <r>
    <n v="329"/>
    <x v="328"/>
    <x v="4"/>
    <n v="48000"/>
    <n v="30"/>
    <x v="7"/>
    <n v="4"/>
    <n v="1846.1538461538462"/>
    <n v="48000"/>
    <n v="5760"/>
    <n v="360"/>
    <n v="41880"/>
  </r>
  <r>
    <n v="330"/>
    <x v="329"/>
    <x v="5"/>
    <n v="50000"/>
    <n v="30"/>
    <x v="0"/>
    <n v="10"/>
    <n v="2500"/>
    <n v="50000"/>
    <n v="6000"/>
    <n v="375"/>
    <n v="43625"/>
  </r>
  <r>
    <n v="331"/>
    <x v="330"/>
    <x v="0"/>
    <n v="28000"/>
    <n v="30"/>
    <x v="5"/>
    <n v="3"/>
    <n v="1037.037037037037"/>
    <n v="27999.999999999996"/>
    <n v="3359.9999999999995"/>
    <n v="209.99999999999997"/>
    <n v="24429.999999999996"/>
  </r>
  <r>
    <n v="332"/>
    <x v="331"/>
    <x v="1"/>
    <n v="59000"/>
    <n v="30"/>
    <x v="5"/>
    <n v="3"/>
    <n v="2185.185185185185"/>
    <n v="59000"/>
    <n v="7080"/>
    <n v="442.5"/>
    <n v="51477.5"/>
  </r>
  <r>
    <n v="333"/>
    <x v="332"/>
    <x v="2"/>
    <n v="44000"/>
    <n v="30"/>
    <x v="2"/>
    <n v="6"/>
    <n v="1833.3333333333333"/>
    <n v="44000"/>
    <n v="5280"/>
    <n v="330"/>
    <n v="38390"/>
  </r>
  <r>
    <n v="334"/>
    <x v="333"/>
    <x v="3"/>
    <n v="16000"/>
    <n v="30"/>
    <x v="6"/>
    <n v="1"/>
    <n v="551.7241379310345"/>
    <n v="16000.000000000002"/>
    <n v="1920.0000000000002"/>
    <n v="120.00000000000001"/>
    <n v="13960.000000000002"/>
  </r>
  <r>
    <n v="335"/>
    <x v="334"/>
    <x v="4"/>
    <n v="25000"/>
    <n v="30"/>
    <x v="0"/>
    <n v="10"/>
    <n v="1250"/>
    <n v="25000"/>
    <n v="3000"/>
    <n v="187.5"/>
    <n v="21812.5"/>
  </r>
  <r>
    <n v="336"/>
    <x v="335"/>
    <x v="5"/>
    <n v="48000"/>
    <n v="30"/>
    <x v="2"/>
    <n v="6"/>
    <n v="2000"/>
    <n v="48000"/>
    <n v="5760"/>
    <n v="360"/>
    <n v="41880"/>
  </r>
  <r>
    <n v="337"/>
    <x v="336"/>
    <x v="0"/>
    <n v="20000"/>
    <n v="30"/>
    <x v="10"/>
    <n v="5"/>
    <n v="800"/>
    <n v="20000"/>
    <n v="2400"/>
    <n v="150"/>
    <n v="17450"/>
  </r>
  <r>
    <n v="338"/>
    <x v="337"/>
    <x v="1"/>
    <n v="52000"/>
    <n v="30"/>
    <x v="6"/>
    <n v="1"/>
    <n v="1793.103448275862"/>
    <n v="52000"/>
    <n v="6240"/>
    <n v="390"/>
    <n v="45370"/>
  </r>
  <r>
    <n v="339"/>
    <x v="338"/>
    <x v="2"/>
    <n v="15000"/>
    <n v="30"/>
    <x v="10"/>
    <n v="5"/>
    <n v="600"/>
    <n v="15000"/>
    <n v="1800"/>
    <n v="112.5"/>
    <n v="13087.5"/>
  </r>
  <r>
    <n v="340"/>
    <x v="339"/>
    <x v="3"/>
    <n v="21000"/>
    <n v="30"/>
    <x v="8"/>
    <n v="8"/>
    <n v="954.5454545454545"/>
    <n v="21000"/>
    <n v="2520"/>
    <n v="157.5"/>
    <n v="18322.5"/>
  </r>
  <r>
    <n v="341"/>
    <x v="340"/>
    <x v="4"/>
    <n v="15000"/>
    <n v="30"/>
    <x v="3"/>
    <n v="9"/>
    <n v="714.2857142857143"/>
    <n v="15000.000000000002"/>
    <n v="1800.0000000000002"/>
    <n v="112.50000000000001"/>
    <n v="13087.500000000002"/>
  </r>
  <r>
    <n v="342"/>
    <x v="341"/>
    <x v="5"/>
    <n v="31000"/>
    <n v="30"/>
    <x v="0"/>
    <n v="10"/>
    <n v="1550"/>
    <n v="31000"/>
    <n v="3720"/>
    <n v="232.5"/>
    <n v="27047.5"/>
  </r>
  <r>
    <n v="343"/>
    <x v="342"/>
    <x v="0"/>
    <n v="25000"/>
    <n v="30"/>
    <x v="2"/>
    <n v="6"/>
    <n v="1041.6666666666667"/>
    <n v="25000"/>
    <n v="3000"/>
    <n v="187.5"/>
    <n v="21812.5"/>
  </r>
  <r>
    <n v="344"/>
    <x v="343"/>
    <x v="1"/>
    <n v="35000"/>
    <n v="30"/>
    <x v="2"/>
    <n v="6"/>
    <n v="1458.3333333333333"/>
    <n v="35000"/>
    <n v="4200"/>
    <n v="262.5"/>
    <n v="30537.5"/>
  </r>
  <r>
    <n v="345"/>
    <x v="344"/>
    <x v="2"/>
    <n v="54000"/>
    <n v="30"/>
    <x v="10"/>
    <n v="5"/>
    <n v="2160"/>
    <n v="54000"/>
    <n v="6480"/>
    <n v="405"/>
    <n v="47115"/>
  </r>
  <r>
    <n v="346"/>
    <x v="345"/>
    <x v="3"/>
    <n v="45000"/>
    <n v="30"/>
    <x v="10"/>
    <n v="5"/>
    <n v="1800"/>
    <n v="45000"/>
    <n v="5400"/>
    <n v="337.5"/>
    <n v="39262.5"/>
  </r>
  <r>
    <n v="347"/>
    <x v="346"/>
    <x v="4"/>
    <n v="21000"/>
    <n v="30"/>
    <x v="6"/>
    <n v="1"/>
    <n v="724.1379310344828"/>
    <n v="21000"/>
    <n v="2520"/>
    <n v="157.5"/>
    <n v="18322.5"/>
  </r>
  <r>
    <n v="348"/>
    <x v="347"/>
    <x v="5"/>
    <n v="27000"/>
    <n v="30"/>
    <x v="10"/>
    <n v="5"/>
    <n v="1080"/>
    <n v="27000"/>
    <n v="3240"/>
    <n v="202.5"/>
    <n v="23557.5"/>
  </r>
  <r>
    <n v="349"/>
    <x v="348"/>
    <x v="0"/>
    <n v="40000"/>
    <n v="30"/>
    <x v="7"/>
    <n v="4"/>
    <n v="1538.4615384615386"/>
    <n v="40000"/>
    <n v="4800"/>
    <n v="300"/>
    <n v="34900"/>
  </r>
  <r>
    <n v="350"/>
    <x v="349"/>
    <x v="1"/>
    <n v="39000"/>
    <n v="30"/>
    <x v="2"/>
    <n v="6"/>
    <n v="1625"/>
    <n v="39000"/>
    <n v="4680"/>
    <n v="292.5"/>
    <n v="34027.5"/>
  </r>
  <r>
    <n v="351"/>
    <x v="350"/>
    <x v="2"/>
    <n v="60000"/>
    <n v="30"/>
    <x v="6"/>
    <n v="1"/>
    <n v="2068.9655172413795"/>
    <n v="60000.00000000001"/>
    <n v="7200.000000000001"/>
    <n v="450.00000000000006"/>
    <n v="52350.00000000001"/>
  </r>
  <r>
    <n v="352"/>
    <x v="351"/>
    <x v="3"/>
    <n v="31000"/>
    <n v="30"/>
    <x v="0"/>
    <n v="10"/>
    <n v="1550"/>
    <n v="31000"/>
    <n v="3720"/>
    <n v="232.5"/>
    <n v="27047.5"/>
  </r>
  <r>
    <n v="353"/>
    <x v="352"/>
    <x v="4"/>
    <n v="24000"/>
    <n v="30"/>
    <x v="6"/>
    <n v="1"/>
    <n v="827.5862068965517"/>
    <n v="24000"/>
    <n v="2880"/>
    <n v="180"/>
    <n v="20940"/>
  </r>
  <r>
    <n v="354"/>
    <x v="353"/>
    <x v="5"/>
    <n v="17000"/>
    <n v="30"/>
    <x v="2"/>
    <n v="6"/>
    <n v="708.3333333333334"/>
    <n v="17000"/>
    <n v="2040"/>
    <n v="127.5"/>
    <n v="14832.5"/>
  </r>
  <r>
    <n v="355"/>
    <x v="354"/>
    <x v="0"/>
    <n v="45000"/>
    <n v="30"/>
    <x v="0"/>
    <n v="10"/>
    <n v="2250"/>
    <n v="45000"/>
    <n v="5400"/>
    <n v="337.5"/>
    <n v="39262.5"/>
  </r>
  <r>
    <n v="356"/>
    <x v="355"/>
    <x v="1"/>
    <n v="44000"/>
    <n v="30"/>
    <x v="4"/>
    <n v="7"/>
    <n v="1913.0434782608695"/>
    <n v="44000"/>
    <n v="5280"/>
    <n v="330"/>
    <n v="38390"/>
  </r>
  <r>
    <n v="357"/>
    <x v="356"/>
    <x v="2"/>
    <n v="21000"/>
    <n v="30"/>
    <x v="8"/>
    <n v="8"/>
    <n v="954.5454545454545"/>
    <n v="21000"/>
    <n v="2520"/>
    <n v="157.5"/>
    <n v="18322.5"/>
  </r>
  <r>
    <n v="358"/>
    <x v="357"/>
    <x v="3"/>
    <n v="39000"/>
    <n v="30"/>
    <x v="3"/>
    <n v="9"/>
    <n v="1857.142857142857"/>
    <n v="39000"/>
    <n v="4680"/>
    <n v="292.5"/>
    <n v="34027.5"/>
  </r>
  <r>
    <n v="359"/>
    <x v="358"/>
    <x v="4"/>
    <n v="56000"/>
    <n v="30"/>
    <x v="5"/>
    <n v="3"/>
    <n v="2074.074074074074"/>
    <n v="55999.99999999999"/>
    <n v="6719.999999999999"/>
    <n v="419.99999999999994"/>
    <n v="48859.99999999999"/>
  </r>
  <r>
    <n v="360"/>
    <x v="359"/>
    <x v="5"/>
    <n v="58000"/>
    <n v="30"/>
    <x v="3"/>
    <n v="9"/>
    <n v="2761.904761904762"/>
    <n v="58000"/>
    <n v="6960"/>
    <n v="435"/>
    <n v="50605"/>
  </r>
  <r>
    <n v="361"/>
    <x v="360"/>
    <x v="0"/>
    <n v="37000"/>
    <n v="30"/>
    <x v="10"/>
    <n v="5"/>
    <n v="1480"/>
    <n v="37000"/>
    <n v="4440"/>
    <n v="277.5"/>
    <n v="32282.5"/>
  </r>
  <r>
    <n v="362"/>
    <x v="361"/>
    <x v="1"/>
    <n v="43000"/>
    <n v="30"/>
    <x v="5"/>
    <n v="3"/>
    <n v="1592.5925925925926"/>
    <n v="43000"/>
    <n v="5160"/>
    <n v="322.5"/>
    <n v="37517.5"/>
  </r>
  <r>
    <n v="363"/>
    <x v="362"/>
    <x v="2"/>
    <n v="34000"/>
    <n v="30"/>
    <x v="6"/>
    <n v="1"/>
    <n v="1172.4137931034484"/>
    <n v="34000"/>
    <n v="4080"/>
    <n v="255"/>
    <n v="29665"/>
  </r>
  <r>
    <n v="364"/>
    <x v="363"/>
    <x v="3"/>
    <n v="54000"/>
    <n v="30"/>
    <x v="3"/>
    <n v="9"/>
    <n v="2571.4285714285716"/>
    <n v="54000"/>
    <n v="6480"/>
    <n v="405"/>
    <n v="47115"/>
  </r>
  <r>
    <n v="365"/>
    <x v="364"/>
    <x v="4"/>
    <n v="28000"/>
    <n v="30"/>
    <x v="9"/>
    <n v="2"/>
    <n v="1000"/>
    <n v="28000"/>
    <n v="3360"/>
    <n v="210"/>
    <n v="24430"/>
  </r>
  <r>
    <n v="366"/>
    <x v="365"/>
    <x v="5"/>
    <n v="39000"/>
    <n v="30"/>
    <x v="4"/>
    <n v="7"/>
    <n v="1695.6521739130435"/>
    <n v="39000"/>
    <n v="4680"/>
    <n v="292.5"/>
    <n v="34027.5"/>
  </r>
  <r>
    <n v="367"/>
    <x v="366"/>
    <x v="0"/>
    <n v="56000"/>
    <n v="30"/>
    <x v="7"/>
    <n v="4"/>
    <n v="2153.846153846154"/>
    <n v="56000"/>
    <n v="6720"/>
    <n v="420"/>
    <n v="48860"/>
  </r>
  <r>
    <n v="368"/>
    <x v="367"/>
    <x v="1"/>
    <n v="55000"/>
    <n v="30"/>
    <x v="9"/>
    <n v="2"/>
    <n v="1964.2857142857142"/>
    <n v="55000"/>
    <n v="6600"/>
    <n v="412.5"/>
    <n v="47987.5"/>
  </r>
  <r>
    <n v="369"/>
    <x v="368"/>
    <x v="2"/>
    <n v="25000"/>
    <n v="30"/>
    <x v="2"/>
    <n v="6"/>
    <n v="1041.6666666666667"/>
    <n v="25000"/>
    <n v="3000"/>
    <n v="187.5"/>
    <n v="21812.5"/>
  </r>
  <r>
    <n v="370"/>
    <x v="369"/>
    <x v="3"/>
    <n v="42000"/>
    <n v="30"/>
    <x v="5"/>
    <n v="3"/>
    <n v="1555.5555555555557"/>
    <n v="42000"/>
    <n v="5040"/>
    <n v="315"/>
    <n v="36645"/>
  </r>
  <r>
    <n v="371"/>
    <x v="370"/>
    <x v="4"/>
    <n v="40000"/>
    <n v="30"/>
    <x v="8"/>
    <n v="8"/>
    <n v="1818.1818181818182"/>
    <n v="40000"/>
    <n v="4800"/>
    <n v="300"/>
    <n v="34900"/>
  </r>
  <r>
    <n v="372"/>
    <x v="371"/>
    <x v="5"/>
    <n v="28000"/>
    <n v="30"/>
    <x v="10"/>
    <n v="5"/>
    <n v="1120"/>
    <n v="28000"/>
    <n v="3360"/>
    <n v="210"/>
    <n v="24430"/>
  </r>
  <r>
    <n v="373"/>
    <x v="372"/>
    <x v="0"/>
    <n v="21000"/>
    <n v="30"/>
    <x v="6"/>
    <n v="1"/>
    <n v="724.1379310344828"/>
    <n v="21000"/>
    <n v="2520"/>
    <n v="157.5"/>
    <n v="18322.5"/>
  </r>
  <r>
    <n v="374"/>
    <x v="373"/>
    <x v="1"/>
    <n v="56000"/>
    <n v="30"/>
    <x v="5"/>
    <n v="3"/>
    <n v="2074.074074074074"/>
    <n v="55999.99999999999"/>
    <n v="6719.999999999999"/>
    <n v="419.99999999999994"/>
    <n v="48859.99999999999"/>
  </r>
  <r>
    <n v="375"/>
    <x v="374"/>
    <x v="2"/>
    <n v="15000"/>
    <n v="30"/>
    <x v="5"/>
    <n v="3"/>
    <n v="555.5555555555555"/>
    <n v="15000"/>
    <n v="1800"/>
    <n v="112.5"/>
    <n v="13087.5"/>
  </r>
  <r>
    <n v="376"/>
    <x v="375"/>
    <x v="3"/>
    <n v="52000"/>
    <n v="30"/>
    <x v="3"/>
    <n v="9"/>
    <n v="2476.190476190476"/>
    <n v="52000"/>
    <n v="6240"/>
    <n v="390"/>
    <n v="45370"/>
  </r>
  <r>
    <n v="377"/>
    <x v="376"/>
    <x v="4"/>
    <n v="32000"/>
    <n v="30"/>
    <x v="1"/>
    <n v="0"/>
    <n v="1066.6666666666667"/>
    <n v="32000.000000000004"/>
    <n v="3840.0000000000005"/>
    <n v="240.00000000000003"/>
    <n v="27920.000000000004"/>
  </r>
  <r>
    <n v="378"/>
    <x v="377"/>
    <x v="5"/>
    <n v="35000"/>
    <n v="30"/>
    <x v="3"/>
    <n v="9"/>
    <n v="1666.6666666666667"/>
    <n v="35000"/>
    <n v="4200"/>
    <n v="262.5"/>
    <n v="30537.5"/>
  </r>
  <r>
    <n v="379"/>
    <x v="378"/>
    <x v="0"/>
    <n v="47000"/>
    <n v="30"/>
    <x v="1"/>
    <n v="0"/>
    <n v="1566.6666666666667"/>
    <n v="47000"/>
    <n v="5640"/>
    <n v="352.5"/>
    <n v="41007.5"/>
  </r>
  <r>
    <n v="380"/>
    <x v="379"/>
    <x v="1"/>
    <n v="21000"/>
    <n v="30"/>
    <x v="10"/>
    <n v="5"/>
    <n v="840"/>
    <n v="21000"/>
    <n v="2520"/>
    <n v="157.5"/>
    <n v="18322.5"/>
  </r>
  <r>
    <n v="381"/>
    <x v="380"/>
    <x v="2"/>
    <n v="24000"/>
    <n v="30"/>
    <x v="0"/>
    <n v="10"/>
    <n v="1200"/>
    <n v="24000"/>
    <n v="2880"/>
    <n v="180"/>
    <n v="20940"/>
  </r>
  <r>
    <n v="382"/>
    <x v="381"/>
    <x v="3"/>
    <n v="44000"/>
    <n v="30"/>
    <x v="3"/>
    <n v="9"/>
    <n v="2095.2380952380954"/>
    <n v="44000"/>
    <n v="5280"/>
    <n v="330"/>
    <n v="38390"/>
  </r>
  <r>
    <n v="383"/>
    <x v="382"/>
    <x v="4"/>
    <n v="53000"/>
    <n v="30"/>
    <x v="2"/>
    <n v="6"/>
    <n v="2208.3333333333335"/>
    <n v="53000"/>
    <n v="6360"/>
    <n v="397.5"/>
    <n v="46242.5"/>
  </r>
  <r>
    <n v="384"/>
    <x v="383"/>
    <x v="5"/>
    <n v="26000"/>
    <n v="30"/>
    <x v="2"/>
    <n v="6"/>
    <n v="1083.3333333333333"/>
    <n v="26000"/>
    <n v="3120"/>
    <n v="195"/>
    <n v="22685"/>
  </r>
  <r>
    <n v="385"/>
    <x v="384"/>
    <x v="0"/>
    <n v="42000"/>
    <n v="30"/>
    <x v="3"/>
    <n v="9"/>
    <n v="2000"/>
    <n v="42000"/>
    <n v="5040"/>
    <n v="315"/>
    <n v="36645"/>
  </r>
  <r>
    <n v="386"/>
    <x v="385"/>
    <x v="1"/>
    <n v="22000"/>
    <n v="30"/>
    <x v="3"/>
    <n v="9"/>
    <n v="1047.6190476190477"/>
    <n v="22000"/>
    <n v="2640"/>
    <n v="165"/>
    <n v="19195"/>
  </r>
  <r>
    <n v="387"/>
    <x v="386"/>
    <x v="2"/>
    <n v="22000"/>
    <n v="30"/>
    <x v="0"/>
    <n v="10"/>
    <n v="1100"/>
    <n v="22000"/>
    <n v="2640"/>
    <n v="165"/>
    <n v="19195"/>
  </r>
  <r>
    <n v="388"/>
    <x v="387"/>
    <x v="3"/>
    <n v="56000"/>
    <n v="30"/>
    <x v="6"/>
    <n v="1"/>
    <n v="1931.0344827586207"/>
    <n v="56000"/>
    <n v="6720"/>
    <n v="420"/>
    <n v="48860"/>
  </r>
  <r>
    <n v="389"/>
    <x v="388"/>
    <x v="4"/>
    <n v="33000"/>
    <n v="30"/>
    <x v="9"/>
    <n v="2"/>
    <n v="1178.5714285714287"/>
    <n v="33000"/>
    <n v="3960"/>
    <n v="247.5"/>
    <n v="28792.5"/>
  </r>
  <r>
    <n v="390"/>
    <x v="389"/>
    <x v="5"/>
    <n v="39000"/>
    <n v="30"/>
    <x v="4"/>
    <n v="7"/>
    <n v="1695.6521739130435"/>
    <n v="39000"/>
    <n v="4680"/>
    <n v="292.5"/>
    <n v="34027.5"/>
  </r>
  <r>
    <n v="391"/>
    <x v="390"/>
    <x v="0"/>
    <n v="45000"/>
    <n v="30"/>
    <x v="9"/>
    <n v="2"/>
    <n v="1607.142857142857"/>
    <n v="45000"/>
    <n v="5400"/>
    <n v="337.5"/>
    <n v="39262.5"/>
  </r>
  <r>
    <n v="392"/>
    <x v="391"/>
    <x v="1"/>
    <n v="33000"/>
    <n v="30"/>
    <x v="6"/>
    <n v="1"/>
    <n v="1137.9310344827586"/>
    <n v="33000"/>
    <n v="3960"/>
    <n v="247.5"/>
    <n v="28792.5"/>
  </r>
  <r>
    <n v="393"/>
    <x v="392"/>
    <x v="2"/>
    <n v="46000"/>
    <n v="30"/>
    <x v="9"/>
    <n v="2"/>
    <n v="1642.857142857143"/>
    <n v="46000"/>
    <n v="5520"/>
    <n v="345"/>
    <n v="40135"/>
  </r>
  <r>
    <n v="394"/>
    <x v="393"/>
    <x v="3"/>
    <n v="55000"/>
    <n v="30"/>
    <x v="9"/>
    <n v="2"/>
    <n v="1964.2857142857142"/>
    <n v="55000"/>
    <n v="6600"/>
    <n v="412.5"/>
    <n v="47987.5"/>
  </r>
  <r>
    <n v="395"/>
    <x v="394"/>
    <x v="4"/>
    <n v="41000"/>
    <n v="30"/>
    <x v="10"/>
    <n v="5"/>
    <n v="1640"/>
    <n v="41000"/>
    <n v="4920"/>
    <n v="307.5"/>
    <n v="35772.5"/>
  </r>
  <r>
    <n v="396"/>
    <x v="395"/>
    <x v="5"/>
    <n v="57000"/>
    <n v="30"/>
    <x v="5"/>
    <n v="3"/>
    <n v="2111.1111111111113"/>
    <n v="57000.00000000001"/>
    <n v="6840.000000000001"/>
    <n v="427.50000000000006"/>
    <n v="49732.50000000001"/>
  </r>
  <r>
    <n v="397"/>
    <x v="396"/>
    <x v="0"/>
    <n v="39000"/>
    <n v="30"/>
    <x v="4"/>
    <n v="7"/>
    <n v="1695.6521739130435"/>
    <n v="39000"/>
    <n v="4680"/>
    <n v="292.5"/>
    <n v="34027.5"/>
  </r>
  <r>
    <n v="398"/>
    <x v="397"/>
    <x v="1"/>
    <n v="23000"/>
    <n v="30"/>
    <x v="2"/>
    <n v="6"/>
    <n v="958.3333333333334"/>
    <n v="23000"/>
    <n v="2760"/>
    <n v="172.5"/>
    <n v="20067.5"/>
  </r>
  <r>
    <n v="399"/>
    <x v="398"/>
    <x v="2"/>
    <n v="45000"/>
    <n v="30"/>
    <x v="6"/>
    <n v="1"/>
    <n v="1551.7241379310344"/>
    <n v="45000"/>
    <n v="5400"/>
    <n v="337.5"/>
    <n v="39262.5"/>
  </r>
  <r>
    <n v="400"/>
    <x v="399"/>
    <x v="3"/>
    <n v="31000"/>
    <n v="30"/>
    <x v="7"/>
    <n v="4"/>
    <n v="1192.3076923076924"/>
    <n v="31000"/>
    <n v="3720"/>
    <n v="232.5"/>
    <n v="27047.5"/>
  </r>
  <r>
    <n v="401"/>
    <x v="400"/>
    <x v="4"/>
    <n v="51000"/>
    <n v="30"/>
    <x v="7"/>
    <n v="4"/>
    <n v="1961.5384615384614"/>
    <n v="51000"/>
    <n v="6120"/>
    <n v="382.5"/>
    <n v="44497.5"/>
  </r>
  <r>
    <n v="402"/>
    <x v="401"/>
    <x v="5"/>
    <n v="54000"/>
    <n v="30"/>
    <x v="2"/>
    <n v="6"/>
    <n v="2250"/>
    <n v="54000"/>
    <n v="6480"/>
    <n v="405"/>
    <n v="47115"/>
  </r>
  <r>
    <n v="403"/>
    <x v="402"/>
    <x v="0"/>
    <n v="22000"/>
    <n v="30"/>
    <x v="0"/>
    <n v="10"/>
    <n v="1100"/>
    <n v="22000"/>
    <n v="2640"/>
    <n v="165"/>
    <n v="19195"/>
  </r>
  <r>
    <n v="404"/>
    <x v="403"/>
    <x v="1"/>
    <n v="24000"/>
    <n v="30"/>
    <x v="4"/>
    <n v="7"/>
    <n v="1043.4782608695652"/>
    <n v="24000"/>
    <n v="2880"/>
    <n v="180"/>
    <n v="20940"/>
  </r>
  <r>
    <n v="405"/>
    <x v="404"/>
    <x v="2"/>
    <n v="16000"/>
    <n v="30"/>
    <x v="4"/>
    <n v="7"/>
    <n v="695.6521739130435"/>
    <n v="16000"/>
    <n v="1920"/>
    <n v="120"/>
    <n v="13960"/>
  </r>
  <r>
    <n v="406"/>
    <x v="405"/>
    <x v="3"/>
    <n v="50000"/>
    <n v="30"/>
    <x v="10"/>
    <n v="5"/>
    <n v="2000"/>
    <n v="50000"/>
    <n v="6000"/>
    <n v="375"/>
    <n v="43625"/>
  </r>
  <r>
    <n v="407"/>
    <x v="406"/>
    <x v="4"/>
    <n v="36000"/>
    <n v="30"/>
    <x v="3"/>
    <n v="9"/>
    <n v="1714.2857142857142"/>
    <n v="36000"/>
    <n v="4320"/>
    <n v="270"/>
    <n v="31410"/>
  </r>
  <r>
    <n v="408"/>
    <x v="407"/>
    <x v="5"/>
    <n v="25000"/>
    <n v="30"/>
    <x v="5"/>
    <n v="3"/>
    <n v="925.925925925926"/>
    <n v="25000"/>
    <n v="3000"/>
    <n v="187.5"/>
    <n v="21812.5"/>
  </r>
  <r>
    <n v="409"/>
    <x v="408"/>
    <x v="0"/>
    <n v="22000"/>
    <n v="30"/>
    <x v="0"/>
    <n v="10"/>
    <n v="1100"/>
    <n v="22000"/>
    <n v="2640"/>
    <n v="165"/>
    <n v="19195"/>
  </r>
  <r>
    <n v="410"/>
    <x v="409"/>
    <x v="1"/>
    <n v="18000"/>
    <n v="30"/>
    <x v="3"/>
    <n v="9"/>
    <n v="857.1428571428571"/>
    <n v="18000"/>
    <n v="2160"/>
    <n v="135"/>
    <n v="15705"/>
  </r>
  <r>
    <n v="411"/>
    <x v="410"/>
    <x v="2"/>
    <n v="28000"/>
    <n v="30"/>
    <x v="0"/>
    <n v="10"/>
    <n v="1400"/>
    <n v="28000"/>
    <n v="3360"/>
    <n v="210"/>
    <n v="24430"/>
  </r>
  <r>
    <n v="412"/>
    <x v="411"/>
    <x v="3"/>
    <n v="39000"/>
    <n v="30"/>
    <x v="4"/>
    <n v="7"/>
    <n v="1695.6521739130435"/>
    <n v="39000"/>
    <n v="4680"/>
    <n v="292.5"/>
    <n v="34027.5"/>
  </r>
  <r>
    <n v="413"/>
    <x v="412"/>
    <x v="4"/>
    <n v="33000"/>
    <n v="30"/>
    <x v="1"/>
    <n v="0"/>
    <n v="1100"/>
    <n v="33000"/>
    <n v="3960"/>
    <n v="247.5"/>
    <n v="28792.5"/>
  </r>
  <r>
    <n v="414"/>
    <x v="413"/>
    <x v="5"/>
    <n v="56000"/>
    <n v="30"/>
    <x v="3"/>
    <n v="9"/>
    <n v="2666.6666666666665"/>
    <n v="56000"/>
    <n v="6720"/>
    <n v="420"/>
    <n v="48860"/>
  </r>
  <r>
    <n v="415"/>
    <x v="414"/>
    <x v="0"/>
    <n v="47000"/>
    <n v="30"/>
    <x v="10"/>
    <n v="5"/>
    <n v="1880"/>
    <n v="47000"/>
    <n v="5640"/>
    <n v="352.5"/>
    <n v="41007.5"/>
  </r>
  <r>
    <n v="416"/>
    <x v="415"/>
    <x v="1"/>
    <n v="15000"/>
    <n v="30"/>
    <x v="9"/>
    <n v="2"/>
    <n v="535.7142857142857"/>
    <n v="14999.999999999998"/>
    <n v="1799.9999999999998"/>
    <n v="112.49999999999999"/>
    <n v="13087.499999999998"/>
  </r>
  <r>
    <n v="417"/>
    <x v="416"/>
    <x v="2"/>
    <n v="27000"/>
    <n v="30"/>
    <x v="7"/>
    <n v="4"/>
    <n v="1038.4615384615386"/>
    <n v="27000.000000000004"/>
    <n v="3240.0000000000005"/>
    <n v="202.50000000000003"/>
    <n v="23557.500000000004"/>
  </r>
  <r>
    <n v="418"/>
    <x v="417"/>
    <x v="3"/>
    <n v="40000"/>
    <n v="30"/>
    <x v="7"/>
    <n v="4"/>
    <n v="1538.4615384615386"/>
    <n v="40000"/>
    <n v="4800"/>
    <n v="300"/>
    <n v="34900"/>
  </r>
  <r>
    <n v="419"/>
    <x v="418"/>
    <x v="4"/>
    <n v="44000"/>
    <n v="30"/>
    <x v="5"/>
    <n v="3"/>
    <n v="1629.6296296296296"/>
    <n v="44000"/>
    <n v="5280"/>
    <n v="330"/>
    <n v="38390"/>
  </r>
  <r>
    <n v="420"/>
    <x v="419"/>
    <x v="5"/>
    <n v="32000"/>
    <n v="30"/>
    <x v="5"/>
    <n v="3"/>
    <n v="1185.1851851851852"/>
    <n v="32000"/>
    <n v="3840"/>
    <n v="240"/>
    <n v="27920"/>
  </r>
  <r>
    <n v="421"/>
    <x v="420"/>
    <x v="0"/>
    <n v="42000"/>
    <n v="30"/>
    <x v="3"/>
    <n v="9"/>
    <n v="2000"/>
    <n v="42000"/>
    <n v="5040"/>
    <n v="315"/>
    <n v="36645"/>
  </r>
  <r>
    <n v="422"/>
    <x v="421"/>
    <x v="1"/>
    <n v="24000"/>
    <n v="30"/>
    <x v="6"/>
    <n v="1"/>
    <n v="827.5862068965517"/>
    <n v="24000"/>
    <n v="2880"/>
    <n v="180"/>
    <n v="20940"/>
  </r>
  <r>
    <n v="423"/>
    <x v="422"/>
    <x v="2"/>
    <n v="35000"/>
    <n v="30"/>
    <x v="6"/>
    <n v="1"/>
    <n v="1206.896551724138"/>
    <n v="35000"/>
    <n v="4200"/>
    <n v="262.5"/>
    <n v="30537.5"/>
  </r>
  <r>
    <n v="424"/>
    <x v="423"/>
    <x v="3"/>
    <n v="55000"/>
    <n v="30"/>
    <x v="0"/>
    <n v="10"/>
    <n v="2750"/>
    <n v="55000"/>
    <n v="6600"/>
    <n v="412.5"/>
    <n v="47987.5"/>
  </r>
  <r>
    <n v="425"/>
    <x v="424"/>
    <x v="4"/>
    <n v="49000"/>
    <n v="30"/>
    <x v="7"/>
    <n v="4"/>
    <n v="1884.6153846153845"/>
    <n v="49000"/>
    <n v="5880"/>
    <n v="367.5"/>
    <n v="42752.5"/>
  </r>
  <r>
    <n v="426"/>
    <x v="425"/>
    <x v="5"/>
    <n v="47000"/>
    <n v="30"/>
    <x v="10"/>
    <n v="5"/>
    <n v="1880"/>
    <n v="47000"/>
    <n v="5640"/>
    <n v="352.5"/>
    <n v="41007.5"/>
  </r>
  <r>
    <n v="427"/>
    <x v="426"/>
    <x v="0"/>
    <n v="39000"/>
    <n v="30"/>
    <x v="5"/>
    <n v="3"/>
    <n v="1444.4444444444443"/>
    <n v="39000"/>
    <n v="4680"/>
    <n v="292.5"/>
    <n v="34027.5"/>
  </r>
  <r>
    <n v="428"/>
    <x v="427"/>
    <x v="1"/>
    <n v="56000"/>
    <n v="30"/>
    <x v="4"/>
    <n v="7"/>
    <n v="2434.782608695652"/>
    <n v="56000"/>
    <n v="6720"/>
    <n v="420"/>
    <n v="48860"/>
  </r>
  <r>
    <n v="429"/>
    <x v="428"/>
    <x v="2"/>
    <n v="41000"/>
    <n v="30"/>
    <x v="8"/>
    <n v="8"/>
    <n v="1863.6363636363637"/>
    <n v="41000"/>
    <n v="4920"/>
    <n v="307.5"/>
    <n v="35772.5"/>
  </r>
  <r>
    <n v="430"/>
    <x v="429"/>
    <x v="3"/>
    <n v="54000"/>
    <n v="30"/>
    <x v="3"/>
    <n v="9"/>
    <n v="2571.4285714285716"/>
    <n v="54000"/>
    <n v="6480"/>
    <n v="405"/>
    <n v="47115"/>
  </r>
  <r>
    <n v="431"/>
    <x v="430"/>
    <x v="4"/>
    <n v="38000"/>
    <n v="30"/>
    <x v="5"/>
    <n v="3"/>
    <n v="1407.4074074074074"/>
    <n v="38000"/>
    <n v="4560"/>
    <n v="285"/>
    <n v="33155"/>
  </r>
  <r>
    <n v="432"/>
    <x v="431"/>
    <x v="5"/>
    <n v="34000"/>
    <n v="30"/>
    <x v="9"/>
    <n v="2"/>
    <n v="1214.2857142857142"/>
    <n v="34000"/>
    <n v="4080"/>
    <n v="255"/>
    <n v="29665"/>
  </r>
  <r>
    <n v="433"/>
    <x v="432"/>
    <x v="0"/>
    <n v="23000"/>
    <n v="30"/>
    <x v="6"/>
    <n v="1"/>
    <n v="793.1034482758621"/>
    <n v="23000"/>
    <n v="2760"/>
    <n v="172.5"/>
    <n v="20067.5"/>
  </r>
  <r>
    <n v="434"/>
    <x v="433"/>
    <x v="1"/>
    <n v="51000"/>
    <n v="30"/>
    <x v="5"/>
    <n v="3"/>
    <n v="1888.888888888889"/>
    <n v="51000"/>
    <n v="6120"/>
    <n v="382.5"/>
    <n v="44497.5"/>
  </r>
  <r>
    <n v="435"/>
    <x v="434"/>
    <x v="2"/>
    <n v="18000"/>
    <n v="30"/>
    <x v="0"/>
    <n v="10"/>
    <n v="900"/>
    <n v="18000"/>
    <n v="2160"/>
    <n v="135"/>
    <n v="15705"/>
  </r>
  <r>
    <n v="436"/>
    <x v="435"/>
    <x v="3"/>
    <n v="23000"/>
    <n v="30"/>
    <x v="10"/>
    <n v="5"/>
    <n v="920"/>
    <n v="23000"/>
    <n v="2760"/>
    <n v="172.5"/>
    <n v="20067.5"/>
  </r>
  <r>
    <n v="437"/>
    <x v="436"/>
    <x v="4"/>
    <n v="40000"/>
    <n v="30"/>
    <x v="7"/>
    <n v="4"/>
    <n v="1538.4615384615386"/>
    <n v="40000"/>
    <n v="4800"/>
    <n v="300"/>
    <n v="34900"/>
  </r>
  <r>
    <n v="438"/>
    <x v="437"/>
    <x v="5"/>
    <n v="22000"/>
    <n v="30"/>
    <x v="6"/>
    <n v="1"/>
    <n v="758.6206896551724"/>
    <n v="22000"/>
    <n v="2640"/>
    <n v="165"/>
    <n v="19195"/>
  </r>
  <r>
    <n v="439"/>
    <x v="438"/>
    <x v="0"/>
    <n v="55000"/>
    <n v="30"/>
    <x v="9"/>
    <n v="2"/>
    <n v="1964.2857142857142"/>
    <n v="55000"/>
    <n v="6600"/>
    <n v="412.5"/>
    <n v="47987.5"/>
  </r>
  <r>
    <n v="440"/>
    <x v="439"/>
    <x v="1"/>
    <n v="59000"/>
    <n v="30"/>
    <x v="8"/>
    <n v="8"/>
    <n v="2681.818181818182"/>
    <n v="59000"/>
    <n v="7080"/>
    <n v="442.5"/>
    <n v="51477.5"/>
  </r>
  <r>
    <n v="441"/>
    <x v="440"/>
    <x v="2"/>
    <n v="52000"/>
    <n v="30"/>
    <x v="2"/>
    <n v="6"/>
    <n v="2166.6666666666665"/>
    <n v="52000"/>
    <n v="6240"/>
    <n v="390"/>
    <n v="45370"/>
  </r>
  <r>
    <n v="442"/>
    <x v="441"/>
    <x v="3"/>
    <n v="20000"/>
    <n v="30"/>
    <x v="5"/>
    <n v="3"/>
    <n v="740.7407407407408"/>
    <n v="20000"/>
    <n v="2400"/>
    <n v="150"/>
    <n v="17450"/>
  </r>
  <r>
    <n v="443"/>
    <x v="442"/>
    <x v="4"/>
    <n v="44000"/>
    <n v="30"/>
    <x v="8"/>
    <n v="8"/>
    <n v="2000"/>
    <n v="44000"/>
    <n v="5280"/>
    <n v="330"/>
    <n v="38390"/>
  </r>
  <r>
    <n v="444"/>
    <x v="443"/>
    <x v="5"/>
    <n v="29000"/>
    <n v="30"/>
    <x v="1"/>
    <n v="0"/>
    <n v="966.6666666666666"/>
    <n v="29000"/>
    <n v="3480"/>
    <n v="217.5"/>
    <n v="25302.5"/>
  </r>
  <r>
    <n v="445"/>
    <x v="444"/>
    <x v="0"/>
    <n v="42000"/>
    <n v="30"/>
    <x v="10"/>
    <n v="5"/>
    <n v="1680"/>
    <n v="42000"/>
    <n v="5040"/>
    <n v="315"/>
    <n v="36645"/>
  </r>
  <r>
    <n v="446"/>
    <x v="445"/>
    <x v="1"/>
    <n v="30000"/>
    <n v="30"/>
    <x v="9"/>
    <n v="2"/>
    <n v="1071.4285714285713"/>
    <n v="29999.999999999996"/>
    <n v="3599.9999999999995"/>
    <n v="224.99999999999997"/>
    <n v="26174.999999999996"/>
  </r>
  <r>
    <n v="447"/>
    <x v="446"/>
    <x v="2"/>
    <n v="32000"/>
    <n v="30"/>
    <x v="2"/>
    <n v="6"/>
    <n v="1333.3333333333333"/>
    <n v="32000"/>
    <n v="3840"/>
    <n v="240"/>
    <n v="27920"/>
  </r>
  <r>
    <n v="448"/>
    <x v="447"/>
    <x v="3"/>
    <n v="27000"/>
    <n v="30"/>
    <x v="9"/>
    <n v="2"/>
    <n v="964.2857142857143"/>
    <n v="27000"/>
    <n v="3240"/>
    <n v="202.5"/>
    <n v="23557.5"/>
  </r>
  <r>
    <n v="449"/>
    <x v="448"/>
    <x v="4"/>
    <n v="39000"/>
    <n v="30"/>
    <x v="4"/>
    <n v="7"/>
    <n v="1695.6521739130435"/>
    <n v="39000"/>
    <n v="4680"/>
    <n v="292.5"/>
    <n v="34027.5"/>
  </r>
  <r>
    <n v="450"/>
    <x v="449"/>
    <x v="5"/>
    <n v="36000"/>
    <n v="30"/>
    <x v="7"/>
    <n v="4"/>
    <n v="1384.6153846153845"/>
    <n v="36000"/>
    <n v="4320"/>
    <n v="270"/>
    <n v="31410"/>
  </r>
  <r>
    <n v="451"/>
    <x v="450"/>
    <x v="0"/>
    <n v="41000"/>
    <n v="30"/>
    <x v="8"/>
    <n v="8"/>
    <n v="1863.6363636363637"/>
    <n v="41000"/>
    <n v="4920"/>
    <n v="307.5"/>
    <n v="35772.5"/>
  </r>
  <r>
    <n v="452"/>
    <x v="451"/>
    <x v="1"/>
    <n v="20000"/>
    <n v="30"/>
    <x v="10"/>
    <n v="5"/>
    <n v="800"/>
    <n v="20000"/>
    <n v="2400"/>
    <n v="150"/>
    <n v="17450"/>
  </r>
  <r>
    <n v="453"/>
    <x v="452"/>
    <x v="2"/>
    <n v="56000"/>
    <n v="30"/>
    <x v="6"/>
    <n v="1"/>
    <n v="1931.0344827586207"/>
    <n v="56000"/>
    <n v="6720"/>
    <n v="420"/>
    <n v="48860"/>
  </r>
  <r>
    <n v="454"/>
    <x v="453"/>
    <x v="3"/>
    <n v="58000"/>
    <n v="30"/>
    <x v="2"/>
    <n v="6"/>
    <n v="2416.6666666666665"/>
    <n v="58000"/>
    <n v="6960"/>
    <n v="435"/>
    <n v="50605"/>
  </r>
  <r>
    <n v="455"/>
    <x v="454"/>
    <x v="4"/>
    <n v="43000"/>
    <n v="30"/>
    <x v="1"/>
    <n v="0"/>
    <n v="1433.3333333333333"/>
    <n v="43000"/>
    <n v="5160"/>
    <n v="322.5"/>
    <n v="37517.5"/>
  </r>
  <r>
    <n v="456"/>
    <x v="455"/>
    <x v="5"/>
    <n v="51000"/>
    <n v="30"/>
    <x v="8"/>
    <n v="8"/>
    <n v="2318.181818181818"/>
    <n v="51000"/>
    <n v="6120"/>
    <n v="382.5"/>
    <n v="44497.5"/>
  </r>
  <r>
    <n v="457"/>
    <x v="456"/>
    <x v="0"/>
    <n v="35000"/>
    <n v="30"/>
    <x v="4"/>
    <n v="7"/>
    <n v="1521.7391304347825"/>
    <n v="35000"/>
    <n v="4200"/>
    <n v="262.5"/>
    <n v="30537.5"/>
  </r>
  <r>
    <n v="458"/>
    <x v="457"/>
    <x v="1"/>
    <n v="44000"/>
    <n v="30"/>
    <x v="4"/>
    <n v="7"/>
    <n v="1913.0434782608695"/>
    <n v="44000"/>
    <n v="5280"/>
    <n v="330"/>
    <n v="38390"/>
  </r>
  <r>
    <n v="459"/>
    <x v="458"/>
    <x v="2"/>
    <n v="15000"/>
    <n v="30"/>
    <x v="7"/>
    <n v="4"/>
    <n v="576.9230769230769"/>
    <n v="15000"/>
    <n v="1800"/>
    <n v="112.5"/>
    <n v="13087.5"/>
  </r>
  <r>
    <n v="460"/>
    <x v="459"/>
    <x v="3"/>
    <n v="51000"/>
    <n v="30"/>
    <x v="8"/>
    <n v="8"/>
    <n v="2318.181818181818"/>
    <n v="51000"/>
    <n v="6120"/>
    <n v="382.5"/>
    <n v="44497.5"/>
  </r>
  <r>
    <n v="461"/>
    <x v="460"/>
    <x v="4"/>
    <n v="52000"/>
    <n v="30"/>
    <x v="5"/>
    <n v="3"/>
    <n v="1925.9259259259259"/>
    <n v="52000"/>
    <n v="6240"/>
    <n v="390"/>
    <n v="45370"/>
  </r>
  <r>
    <n v="462"/>
    <x v="461"/>
    <x v="5"/>
    <n v="56000"/>
    <n v="30"/>
    <x v="9"/>
    <n v="2"/>
    <n v="2000"/>
    <n v="56000"/>
    <n v="6720"/>
    <n v="420"/>
    <n v="48860"/>
  </r>
  <r>
    <n v="463"/>
    <x v="462"/>
    <x v="0"/>
    <n v="25000"/>
    <n v="30"/>
    <x v="7"/>
    <n v="4"/>
    <n v="961.5384615384615"/>
    <n v="25000"/>
    <n v="3000"/>
    <n v="187.5"/>
    <n v="21812.5"/>
  </r>
  <r>
    <n v="464"/>
    <x v="463"/>
    <x v="1"/>
    <n v="54000"/>
    <n v="30"/>
    <x v="6"/>
    <n v="1"/>
    <n v="1862.0689655172414"/>
    <n v="54000"/>
    <n v="6480"/>
    <n v="405"/>
    <n v="47115"/>
  </r>
  <r>
    <n v="465"/>
    <x v="464"/>
    <x v="2"/>
    <n v="55000"/>
    <n v="30"/>
    <x v="1"/>
    <n v="0"/>
    <n v="1833.3333333333333"/>
    <n v="55000"/>
    <n v="6600"/>
    <n v="412.5"/>
    <n v="47987.5"/>
  </r>
  <r>
    <n v="466"/>
    <x v="465"/>
    <x v="3"/>
    <n v="23000"/>
    <n v="30"/>
    <x v="10"/>
    <n v="5"/>
    <n v="920"/>
    <n v="23000"/>
    <n v="2760"/>
    <n v="172.5"/>
    <n v="20067.5"/>
  </r>
  <r>
    <n v="467"/>
    <x v="466"/>
    <x v="4"/>
    <n v="15000"/>
    <n v="30"/>
    <x v="1"/>
    <n v="0"/>
    <n v="500"/>
    <n v="15000"/>
    <n v="1800"/>
    <n v="112.5"/>
    <n v="13087.5"/>
  </r>
  <r>
    <n v="468"/>
    <x v="467"/>
    <x v="5"/>
    <n v="53000"/>
    <n v="30"/>
    <x v="5"/>
    <n v="3"/>
    <n v="1962.962962962963"/>
    <n v="53000"/>
    <n v="6360"/>
    <n v="397.5"/>
    <n v="46242.5"/>
  </r>
  <r>
    <n v="469"/>
    <x v="468"/>
    <x v="0"/>
    <n v="52000"/>
    <n v="30"/>
    <x v="2"/>
    <n v="6"/>
    <n v="2166.6666666666665"/>
    <n v="52000"/>
    <n v="6240"/>
    <n v="390"/>
    <n v="45370"/>
  </r>
  <r>
    <n v="470"/>
    <x v="469"/>
    <x v="1"/>
    <n v="36000"/>
    <n v="30"/>
    <x v="1"/>
    <n v="0"/>
    <n v="1200"/>
    <n v="36000"/>
    <n v="4320"/>
    <n v="270"/>
    <n v="31410"/>
  </r>
  <r>
    <n v="471"/>
    <x v="470"/>
    <x v="2"/>
    <n v="58000"/>
    <n v="30"/>
    <x v="1"/>
    <n v="0"/>
    <n v="1933.3333333333333"/>
    <n v="58000"/>
    <n v="6960"/>
    <n v="435"/>
    <n v="50605"/>
  </r>
  <r>
    <n v="472"/>
    <x v="471"/>
    <x v="3"/>
    <n v="60000"/>
    <n v="30"/>
    <x v="2"/>
    <n v="6"/>
    <n v="2500"/>
    <n v="60000"/>
    <n v="7200"/>
    <n v="450"/>
    <n v="52350"/>
  </r>
  <r>
    <n v="473"/>
    <x v="472"/>
    <x v="4"/>
    <n v="47000"/>
    <n v="30"/>
    <x v="0"/>
    <n v="10"/>
    <n v="2350"/>
    <n v="47000"/>
    <n v="5640"/>
    <n v="352.5"/>
    <n v="41007.5"/>
  </r>
  <r>
    <n v="474"/>
    <x v="473"/>
    <x v="5"/>
    <n v="24000"/>
    <n v="30"/>
    <x v="0"/>
    <n v="10"/>
    <n v="1200"/>
    <n v="24000"/>
    <n v="2880"/>
    <n v="180"/>
    <n v="20940"/>
  </r>
  <r>
    <n v="475"/>
    <x v="474"/>
    <x v="0"/>
    <n v="51000"/>
    <n v="30"/>
    <x v="2"/>
    <n v="6"/>
    <n v="2125"/>
    <n v="51000"/>
    <n v="6120"/>
    <n v="382.5"/>
    <n v="44497.5"/>
  </r>
  <r>
    <n v="476"/>
    <x v="475"/>
    <x v="1"/>
    <n v="43000"/>
    <n v="30"/>
    <x v="6"/>
    <n v="1"/>
    <n v="1482.7586206896551"/>
    <n v="43000"/>
    <n v="5160"/>
    <n v="322.5"/>
    <n v="37517.5"/>
  </r>
  <r>
    <n v="477"/>
    <x v="476"/>
    <x v="2"/>
    <n v="50000"/>
    <n v="30"/>
    <x v="6"/>
    <n v="1"/>
    <n v="1724.1379310344828"/>
    <n v="50000"/>
    <n v="6000"/>
    <n v="375"/>
    <n v="43625"/>
  </r>
  <r>
    <n v="478"/>
    <x v="477"/>
    <x v="3"/>
    <n v="32000"/>
    <n v="30"/>
    <x v="5"/>
    <n v="3"/>
    <n v="1185.1851851851852"/>
    <n v="32000"/>
    <n v="3840"/>
    <n v="240"/>
    <n v="27920"/>
  </r>
  <r>
    <n v="479"/>
    <x v="478"/>
    <x v="4"/>
    <n v="20000"/>
    <n v="30"/>
    <x v="3"/>
    <n v="9"/>
    <n v="952.3809523809524"/>
    <n v="20000"/>
    <n v="2400"/>
    <n v="150"/>
    <n v="17450"/>
  </r>
  <r>
    <n v="480"/>
    <x v="479"/>
    <x v="5"/>
    <n v="16000"/>
    <n v="30"/>
    <x v="3"/>
    <n v="9"/>
    <n v="761.9047619047619"/>
    <n v="16000"/>
    <n v="1920"/>
    <n v="120"/>
    <n v="13960"/>
  </r>
  <r>
    <n v="481"/>
    <x v="480"/>
    <x v="0"/>
    <n v="46000"/>
    <n v="30"/>
    <x v="3"/>
    <n v="9"/>
    <n v="2190.4761904761904"/>
    <n v="46000"/>
    <n v="5520"/>
    <n v="345"/>
    <n v="40135"/>
  </r>
  <r>
    <n v="482"/>
    <x v="481"/>
    <x v="1"/>
    <n v="49000"/>
    <n v="30"/>
    <x v="7"/>
    <n v="4"/>
    <n v="1884.6153846153845"/>
    <n v="49000"/>
    <n v="5880"/>
    <n v="367.5"/>
    <n v="42752.5"/>
  </r>
  <r>
    <n v="483"/>
    <x v="482"/>
    <x v="2"/>
    <n v="21000"/>
    <n v="30"/>
    <x v="5"/>
    <n v="3"/>
    <n v="777.7777777777778"/>
    <n v="21000"/>
    <n v="2520"/>
    <n v="157.5"/>
    <n v="18322.5"/>
  </r>
  <r>
    <n v="484"/>
    <x v="483"/>
    <x v="3"/>
    <n v="20000"/>
    <n v="30"/>
    <x v="7"/>
    <n v="4"/>
    <n v="769.2307692307693"/>
    <n v="20000"/>
    <n v="2400"/>
    <n v="150"/>
    <n v="17450"/>
  </r>
  <r>
    <n v="485"/>
    <x v="484"/>
    <x v="4"/>
    <n v="19000"/>
    <n v="30"/>
    <x v="6"/>
    <n v="1"/>
    <n v="655.1724137931035"/>
    <n v="19000"/>
    <n v="2280"/>
    <n v="142.5"/>
    <n v="16577.5"/>
  </r>
  <r>
    <n v="486"/>
    <x v="485"/>
    <x v="5"/>
    <n v="45000"/>
    <n v="30"/>
    <x v="6"/>
    <n v="1"/>
    <n v="1551.7241379310344"/>
    <n v="45000"/>
    <n v="5400"/>
    <n v="337.5"/>
    <n v="39262.5"/>
  </r>
  <r>
    <n v="487"/>
    <x v="486"/>
    <x v="0"/>
    <n v="51000"/>
    <n v="30"/>
    <x v="8"/>
    <n v="8"/>
    <n v="2318.181818181818"/>
    <n v="51000"/>
    <n v="6120"/>
    <n v="382.5"/>
    <n v="44497.5"/>
  </r>
  <r>
    <n v="488"/>
    <x v="487"/>
    <x v="1"/>
    <n v="37000"/>
    <n v="30"/>
    <x v="0"/>
    <n v="10"/>
    <n v="1850"/>
    <n v="37000"/>
    <n v="4440"/>
    <n v="277.5"/>
    <n v="32282.5"/>
  </r>
  <r>
    <n v="489"/>
    <x v="488"/>
    <x v="2"/>
    <n v="16000"/>
    <n v="30"/>
    <x v="5"/>
    <n v="3"/>
    <n v="592.5925925925926"/>
    <n v="16000"/>
    <n v="1920"/>
    <n v="120"/>
    <n v="13960"/>
  </r>
  <r>
    <n v="490"/>
    <x v="489"/>
    <x v="3"/>
    <n v="21000"/>
    <n v="30"/>
    <x v="1"/>
    <n v="0"/>
    <n v="700"/>
    <n v="21000"/>
    <n v="2520"/>
    <n v="157.5"/>
    <n v="18322.5"/>
  </r>
  <r>
    <n v="491"/>
    <x v="490"/>
    <x v="4"/>
    <n v="19000"/>
    <n v="30"/>
    <x v="6"/>
    <n v="1"/>
    <n v="655.1724137931035"/>
    <n v="19000"/>
    <n v="2280"/>
    <n v="142.5"/>
    <n v="16577.5"/>
  </r>
  <r>
    <n v="492"/>
    <x v="491"/>
    <x v="5"/>
    <n v="42000"/>
    <n v="30"/>
    <x v="4"/>
    <n v="7"/>
    <n v="1826.0869565217392"/>
    <n v="42000"/>
    <n v="5040"/>
    <n v="315"/>
    <n v="36645"/>
  </r>
  <r>
    <n v="493"/>
    <x v="492"/>
    <x v="0"/>
    <n v="31000"/>
    <n v="30"/>
    <x v="5"/>
    <n v="3"/>
    <n v="1148.148148148148"/>
    <n v="30999.999999999996"/>
    <n v="3719.9999999999995"/>
    <n v="232.49999999999997"/>
    <n v="27047.499999999996"/>
  </r>
  <r>
    <n v="494"/>
    <x v="493"/>
    <x v="1"/>
    <n v="27000"/>
    <n v="30"/>
    <x v="9"/>
    <n v="2"/>
    <n v="964.2857142857143"/>
    <n v="27000"/>
    <n v="3240"/>
    <n v="202.5"/>
    <n v="23557.5"/>
  </r>
  <r>
    <n v="495"/>
    <x v="494"/>
    <x v="2"/>
    <n v="51000"/>
    <n v="30"/>
    <x v="1"/>
    <n v="0"/>
    <n v="1700"/>
    <n v="51000"/>
    <n v="6120"/>
    <n v="382.5"/>
    <n v="44497.5"/>
  </r>
  <r>
    <n v="496"/>
    <x v="495"/>
    <x v="3"/>
    <n v="46000"/>
    <n v="30"/>
    <x v="6"/>
    <n v="1"/>
    <n v="1586.2068965517242"/>
    <n v="46000"/>
    <n v="5520"/>
    <n v="345"/>
    <n v="40135"/>
  </r>
  <r>
    <n v="497"/>
    <x v="496"/>
    <x v="4"/>
    <n v="38000"/>
    <n v="30"/>
    <x v="1"/>
    <n v="0"/>
    <n v="1266.6666666666667"/>
    <n v="38000"/>
    <n v="4560"/>
    <n v="285"/>
    <n v="33155"/>
  </r>
  <r>
    <n v="498"/>
    <x v="497"/>
    <x v="5"/>
    <n v="39000"/>
    <n v="30"/>
    <x v="6"/>
    <n v="1"/>
    <n v="1344.8275862068965"/>
    <n v="39000"/>
    <n v="4680"/>
    <n v="292.5"/>
    <n v="34027.5"/>
  </r>
  <r>
    <n v="499"/>
    <x v="498"/>
    <x v="0"/>
    <n v="43000"/>
    <n v="30"/>
    <x v="2"/>
    <n v="6"/>
    <n v="1791.6666666666667"/>
    <n v="43000"/>
    <n v="5160"/>
    <n v="322.5"/>
    <n v="37517.5"/>
  </r>
  <r>
    <n v="500"/>
    <x v="499"/>
    <x v="1"/>
    <n v="42000"/>
    <n v="30"/>
    <x v="10"/>
    <n v="5"/>
    <n v="1680"/>
    <n v="42000"/>
    <n v="5040"/>
    <n v="315"/>
    <n v="36645"/>
  </r>
  <r>
    <n v="501"/>
    <x v="500"/>
    <x v="2"/>
    <n v="16000"/>
    <n v="30"/>
    <x v="0"/>
    <n v="10"/>
    <n v="800"/>
    <n v="16000"/>
    <n v="1920"/>
    <n v="120"/>
    <n v="13960"/>
  </r>
  <r>
    <n v="502"/>
    <x v="501"/>
    <x v="3"/>
    <n v="36000"/>
    <n v="30"/>
    <x v="7"/>
    <n v="4"/>
    <n v="1384.6153846153845"/>
    <n v="36000"/>
    <n v="4320"/>
    <n v="270"/>
    <n v="31410"/>
  </r>
  <r>
    <n v="503"/>
    <x v="502"/>
    <x v="4"/>
    <n v="48000"/>
    <n v="30"/>
    <x v="1"/>
    <n v="0"/>
    <n v="1600"/>
    <n v="48000"/>
    <n v="5760"/>
    <n v="360"/>
    <n v="41880"/>
  </r>
  <r>
    <n v="504"/>
    <x v="503"/>
    <x v="5"/>
    <n v="58000"/>
    <n v="30"/>
    <x v="5"/>
    <n v="3"/>
    <n v="2148.1481481481483"/>
    <n v="58000"/>
    <n v="6960"/>
    <n v="435"/>
    <n v="50605"/>
  </r>
  <r>
    <n v="505"/>
    <x v="504"/>
    <x v="0"/>
    <n v="18000"/>
    <n v="30"/>
    <x v="10"/>
    <n v="5"/>
    <n v="720"/>
    <n v="18000"/>
    <n v="2160"/>
    <n v="135"/>
    <n v="15705"/>
  </r>
  <r>
    <n v="506"/>
    <x v="505"/>
    <x v="1"/>
    <n v="50000"/>
    <n v="30"/>
    <x v="10"/>
    <n v="5"/>
    <n v="2000"/>
    <n v="50000"/>
    <n v="6000"/>
    <n v="375"/>
    <n v="43625"/>
  </r>
  <r>
    <n v="507"/>
    <x v="506"/>
    <x v="2"/>
    <n v="60000"/>
    <n v="30"/>
    <x v="1"/>
    <n v="0"/>
    <n v="2000"/>
    <n v="60000"/>
    <n v="7200"/>
    <n v="450"/>
    <n v="52350"/>
  </r>
  <r>
    <n v="508"/>
    <x v="507"/>
    <x v="3"/>
    <n v="31000"/>
    <n v="30"/>
    <x v="9"/>
    <n v="2"/>
    <n v="1107.142857142857"/>
    <n v="31000"/>
    <n v="3720"/>
    <n v="232.5"/>
    <n v="27047.5"/>
  </r>
  <r>
    <n v="509"/>
    <x v="508"/>
    <x v="4"/>
    <n v="57000"/>
    <n v="30"/>
    <x v="9"/>
    <n v="2"/>
    <n v="2035.7142857142858"/>
    <n v="57000"/>
    <n v="6840"/>
    <n v="427.5"/>
    <n v="49732.5"/>
  </r>
  <r>
    <n v="510"/>
    <x v="509"/>
    <x v="5"/>
    <n v="57000"/>
    <n v="30"/>
    <x v="9"/>
    <n v="2"/>
    <n v="2035.7142857142858"/>
    <n v="57000"/>
    <n v="6840"/>
    <n v="427.5"/>
    <n v="49732.5"/>
  </r>
  <r>
    <n v="511"/>
    <x v="510"/>
    <x v="0"/>
    <n v="41000"/>
    <n v="30"/>
    <x v="7"/>
    <n v="4"/>
    <n v="1576.923076923077"/>
    <n v="41000"/>
    <n v="4920"/>
    <n v="307.5"/>
    <n v="35772.5"/>
  </r>
  <r>
    <n v="512"/>
    <x v="511"/>
    <x v="1"/>
    <n v="40000"/>
    <n v="30"/>
    <x v="7"/>
    <n v="4"/>
    <n v="1538.4615384615386"/>
    <n v="40000"/>
    <n v="4800"/>
    <n v="300"/>
    <n v="34900"/>
  </r>
  <r>
    <n v="513"/>
    <x v="512"/>
    <x v="2"/>
    <n v="37000"/>
    <n v="30"/>
    <x v="1"/>
    <n v="0"/>
    <n v="1233.3333333333333"/>
    <n v="37000"/>
    <n v="4440"/>
    <n v="277.5"/>
    <n v="32282.5"/>
  </r>
  <r>
    <n v="514"/>
    <x v="513"/>
    <x v="3"/>
    <n v="60000"/>
    <n v="30"/>
    <x v="0"/>
    <n v="10"/>
    <n v="3000"/>
    <n v="60000"/>
    <n v="7200"/>
    <n v="450"/>
    <n v="52350"/>
  </r>
  <r>
    <n v="515"/>
    <x v="514"/>
    <x v="4"/>
    <n v="19000"/>
    <n v="30"/>
    <x v="0"/>
    <n v="10"/>
    <n v="950"/>
    <n v="19000"/>
    <n v="2280"/>
    <n v="142.5"/>
    <n v="16577.5"/>
  </r>
  <r>
    <n v="516"/>
    <x v="515"/>
    <x v="5"/>
    <n v="48000"/>
    <n v="30"/>
    <x v="2"/>
    <n v="6"/>
    <n v="2000"/>
    <n v="48000"/>
    <n v="5760"/>
    <n v="360"/>
    <n v="41880"/>
  </r>
  <r>
    <n v="517"/>
    <x v="516"/>
    <x v="0"/>
    <n v="36000"/>
    <n v="30"/>
    <x v="0"/>
    <n v="10"/>
    <n v="1800"/>
    <n v="36000"/>
    <n v="4320"/>
    <n v="270"/>
    <n v="31410"/>
  </r>
  <r>
    <n v="518"/>
    <x v="517"/>
    <x v="1"/>
    <n v="57000"/>
    <n v="30"/>
    <x v="0"/>
    <n v="10"/>
    <n v="2850"/>
    <n v="57000"/>
    <n v="6840"/>
    <n v="427.5"/>
    <n v="49732.5"/>
  </r>
  <r>
    <n v="519"/>
    <x v="518"/>
    <x v="2"/>
    <n v="30000"/>
    <n v="30"/>
    <x v="6"/>
    <n v="1"/>
    <n v="1034.4827586206898"/>
    <n v="30000.000000000004"/>
    <n v="3600.0000000000005"/>
    <n v="225.00000000000003"/>
    <n v="26175.000000000004"/>
  </r>
  <r>
    <n v="520"/>
    <x v="519"/>
    <x v="3"/>
    <n v="18000"/>
    <n v="30"/>
    <x v="3"/>
    <n v="9"/>
    <n v="857.1428571428571"/>
    <n v="18000"/>
    <n v="2160"/>
    <n v="135"/>
    <n v="15705"/>
  </r>
  <r>
    <n v="521"/>
    <x v="520"/>
    <x v="4"/>
    <n v="20000"/>
    <n v="30"/>
    <x v="0"/>
    <n v="10"/>
    <n v="1000"/>
    <n v="20000"/>
    <n v="2400"/>
    <n v="150"/>
    <n v="17450"/>
  </r>
  <r>
    <n v="522"/>
    <x v="521"/>
    <x v="5"/>
    <n v="30000"/>
    <n v="30"/>
    <x v="0"/>
    <n v="10"/>
    <n v="1500"/>
    <n v="30000"/>
    <n v="3600"/>
    <n v="225"/>
    <n v="26175"/>
  </r>
  <r>
    <n v="523"/>
    <x v="522"/>
    <x v="0"/>
    <n v="17000"/>
    <n v="30"/>
    <x v="9"/>
    <n v="2"/>
    <n v="607.1428571428571"/>
    <n v="17000"/>
    <n v="2040"/>
    <n v="127.5"/>
    <n v="14832.5"/>
  </r>
  <r>
    <n v="524"/>
    <x v="523"/>
    <x v="1"/>
    <n v="51000"/>
    <n v="30"/>
    <x v="8"/>
    <n v="8"/>
    <n v="2318.181818181818"/>
    <n v="51000"/>
    <n v="6120"/>
    <n v="382.5"/>
    <n v="44497.5"/>
  </r>
  <r>
    <n v="525"/>
    <x v="524"/>
    <x v="2"/>
    <n v="27000"/>
    <n v="30"/>
    <x v="9"/>
    <n v="2"/>
    <n v="964.2857142857143"/>
    <n v="27000"/>
    <n v="3240"/>
    <n v="202.5"/>
    <n v="23557.5"/>
  </r>
  <r>
    <n v="526"/>
    <x v="525"/>
    <x v="3"/>
    <n v="46000"/>
    <n v="30"/>
    <x v="6"/>
    <n v="1"/>
    <n v="1586.2068965517242"/>
    <n v="46000"/>
    <n v="5520"/>
    <n v="345"/>
    <n v="40135"/>
  </r>
  <r>
    <n v="527"/>
    <x v="526"/>
    <x v="4"/>
    <n v="52000"/>
    <n v="30"/>
    <x v="6"/>
    <n v="1"/>
    <n v="1793.103448275862"/>
    <n v="52000"/>
    <n v="6240"/>
    <n v="390"/>
    <n v="45370"/>
  </r>
  <r>
    <n v="528"/>
    <x v="527"/>
    <x v="5"/>
    <n v="40000"/>
    <n v="30"/>
    <x v="4"/>
    <n v="7"/>
    <n v="1739.1304347826087"/>
    <n v="40000"/>
    <n v="4800"/>
    <n v="300"/>
    <n v="34900"/>
  </r>
  <r>
    <n v="529"/>
    <x v="528"/>
    <x v="0"/>
    <n v="34000"/>
    <n v="30"/>
    <x v="1"/>
    <n v="0"/>
    <n v="1133.3333333333333"/>
    <n v="34000"/>
    <n v="4080"/>
    <n v="255"/>
    <n v="29665"/>
  </r>
  <r>
    <n v="530"/>
    <x v="529"/>
    <x v="1"/>
    <n v="45000"/>
    <n v="30"/>
    <x v="8"/>
    <n v="8"/>
    <n v="2045.4545454545455"/>
    <n v="45000"/>
    <n v="5400"/>
    <n v="337.5"/>
    <n v="39262.5"/>
  </r>
  <r>
    <n v="531"/>
    <x v="530"/>
    <x v="2"/>
    <n v="48000"/>
    <n v="30"/>
    <x v="5"/>
    <n v="3"/>
    <n v="1777.7777777777778"/>
    <n v="48000"/>
    <n v="5760"/>
    <n v="360"/>
    <n v="41880"/>
  </r>
  <r>
    <n v="532"/>
    <x v="531"/>
    <x v="3"/>
    <n v="36000"/>
    <n v="30"/>
    <x v="8"/>
    <n v="8"/>
    <n v="1636.3636363636363"/>
    <n v="36000"/>
    <n v="4320"/>
    <n v="270"/>
    <n v="31410"/>
  </r>
  <r>
    <n v="533"/>
    <x v="532"/>
    <x v="4"/>
    <n v="33000"/>
    <n v="30"/>
    <x v="2"/>
    <n v="6"/>
    <n v="1375"/>
    <n v="33000"/>
    <n v="3960"/>
    <n v="247.5"/>
    <n v="28792.5"/>
  </r>
  <r>
    <n v="534"/>
    <x v="533"/>
    <x v="5"/>
    <n v="59000"/>
    <n v="30"/>
    <x v="6"/>
    <n v="1"/>
    <n v="2034.4827586206898"/>
    <n v="59000"/>
    <n v="7080"/>
    <n v="442.5"/>
    <n v="51477.5"/>
  </r>
  <r>
    <n v="535"/>
    <x v="534"/>
    <x v="0"/>
    <n v="20000"/>
    <n v="30"/>
    <x v="5"/>
    <n v="3"/>
    <n v="740.7407407407408"/>
    <n v="20000"/>
    <n v="2400"/>
    <n v="150"/>
    <n v="17450"/>
  </r>
  <r>
    <n v="536"/>
    <x v="535"/>
    <x v="1"/>
    <n v="51000"/>
    <n v="30"/>
    <x v="10"/>
    <n v="5"/>
    <n v="2040"/>
    <n v="51000"/>
    <n v="6120"/>
    <n v="382.5"/>
    <n v="44497.5"/>
  </r>
  <r>
    <n v="537"/>
    <x v="536"/>
    <x v="2"/>
    <n v="23000"/>
    <n v="30"/>
    <x v="4"/>
    <n v="7"/>
    <n v="1000"/>
    <n v="23000"/>
    <n v="2760"/>
    <n v="172.5"/>
    <n v="20067.5"/>
  </r>
  <r>
    <n v="538"/>
    <x v="537"/>
    <x v="3"/>
    <n v="45000"/>
    <n v="30"/>
    <x v="4"/>
    <n v="7"/>
    <n v="1956.5217391304348"/>
    <n v="45000"/>
    <n v="5400"/>
    <n v="337.5"/>
    <n v="39262.5"/>
  </r>
  <r>
    <n v="539"/>
    <x v="538"/>
    <x v="4"/>
    <n v="25000"/>
    <n v="30"/>
    <x v="0"/>
    <n v="10"/>
    <n v="1250"/>
    <n v="25000"/>
    <n v="3000"/>
    <n v="187.5"/>
    <n v="21812.5"/>
  </r>
  <r>
    <n v="540"/>
    <x v="539"/>
    <x v="5"/>
    <n v="15000"/>
    <n v="30"/>
    <x v="8"/>
    <n v="8"/>
    <n v="681.8181818181819"/>
    <n v="15000.000000000002"/>
    <n v="1800.0000000000002"/>
    <n v="112.50000000000001"/>
    <n v="13087.500000000002"/>
  </r>
  <r>
    <n v="541"/>
    <x v="540"/>
    <x v="0"/>
    <n v="32000"/>
    <n v="30"/>
    <x v="3"/>
    <n v="9"/>
    <n v="1523.8095238095239"/>
    <n v="32000"/>
    <n v="3840"/>
    <n v="240"/>
    <n v="27920"/>
  </r>
  <r>
    <n v="542"/>
    <x v="541"/>
    <x v="1"/>
    <n v="57000"/>
    <n v="30"/>
    <x v="6"/>
    <n v="1"/>
    <n v="1965.5172413793102"/>
    <n v="57000"/>
    <n v="6840"/>
    <n v="427.5"/>
    <n v="49732.5"/>
  </r>
  <r>
    <n v="543"/>
    <x v="542"/>
    <x v="2"/>
    <n v="25000"/>
    <n v="30"/>
    <x v="2"/>
    <n v="6"/>
    <n v="1041.6666666666667"/>
    <n v="25000"/>
    <n v="3000"/>
    <n v="187.5"/>
    <n v="21812.5"/>
  </r>
  <r>
    <n v="544"/>
    <x v="543"/>
    <x v="3"/>
    <n v="19000"/>
    <n v="30"/>
    <x v="7"/>
    <n v="4"/>
    <n v="730.7692307692307"/>
    <n v="19000"/>
    <n v="2280"/>
    <n v="142.5"/>
    <n v="16577.5"/>
  </r>
  <r>
    <n v="545"/>
    <x v="544"/>
    <x v="4"/>
    <n v="35000"/>
    <n v="30"/>
    <x v="2"/>
    <n v="6"/>
    <n v="1458.3333333333333"/>
    <n v="35000"/>
    <n v="4200"/>
    <n v="262.5"/>
    <n v="30537.5"/>
  </r>
  <r>
    <n v="546"/>
    <x v="545"/>
    <x v="5"/>
    <n v="27000"/>
    <n v="30"/>
    <x v="4"/>
    <n v="7"/>
    <n v="1173.9130434782608"/>
    <n v="26999.999999999996"/>
    <n v="3239.9999999999995"/>
    <n v="202.49999999999997"/>
    <n v="23557.499999999996"/>
  </r>
  <r>
    <n v="547"/>
    <x v="546"/>
    <x v="0"/>
    <n v="36000"/>
    <n v="30"/>
    <x v="0"/>
    <n v="10"/>
    <n v="1800"/>
    <n v="36000"/>
    <n v="4320"/>
    <n v="270"/>
    <n v="31410"/>
  </r>
  <r>
    <n v="548"/>
    <x v="547"/>
    <x v="1"/>
    <n v="24000"/>
    <n v="30"/>
    <x v="0"/>
    <n v="10"/>
    <n v="1200"/>
    <n v="24000"/>
    <n v="2880"/>
    <n v="180"/>
    <n v="20940"/>
  </r>
  <r>
    <n v="549"/>
    <x v="548"/>
    <x v="2"/>
    <n v="27000"/>
    <n v="30"/>
    <x v="10"/>
    <n v="5"/>
    <n v="1080"/>
    <n v="27000"/>
    <n v="3240"/>
    <n v="202.5"/>
    <n v="23557.5"/>
  </r>
  <r>
    <n v="550"/>
    <x v="549"/>
    <x v="3"/>
    <n v="59000"/>
    <n v="30"/>
    <x v="5"/>
    <n v="3"/>
    <n v="2185.185185185185"/>
    <n v="59000"/>
    <n v="7080"/>
    <n v="442.5"/>
    <n v="51477.5"/>
  </r>
  <r>
    <n v="551"/>
    <x v="550"/>
    <x v="4"/>
    <n v="57000"/>
    <n v="30"/>
    <x v="0"/>
    <n v="10"/>
    <n v="2850"/>
    <n v="57000"/>
    <n v="6840"/>
    <n v="427.5"/>
    <n v="49732.5"/>
  </r>
  <r>
    <n v="552"/>
    <x v="551"/>
    <x v="5"/>
    <n v="46000"/>
    <n v="30"/>
    <x v="10"/>
    <n v="5"/>
    <n v="1840"/>
    <n v="46000"/>
    <n v="5520"/>
    <n v="345"/>
    <n v="40135"/>
  </r>
  <r>
    <n v="553"/>
    <x v="552"/>
    <x v="0"/>
    <n v="43000"/>
    <n v="30"/>
    <x v="8"/>
    <n v="8"/>
    <n v="1954.5454545454545"/>
    <n v="43000"/>
    <n v="5160"/>
    <n v="322.5"/>
    <n v="37517.5"/>
  </r>
  <r>
    <n v="554"/>
    <x v="553"/>
    <x v="1"/>
    <n v="29000"/>
    <n v="30"/>
    <x v="3"/>
    <n v="9"/>
    <n v="1380.952380952381"/>
    <n v="29000"/>
    <n v="3480"/>
    <n v="217.5"/>
    <n v="25302.5"/>
  </r>
  <r>
    <n v="555"/>
    <x v="554"/>
    <x v="2"/>
    <n v="24000"/>
    <n v="30"/>
    <x v="9"/>
    <n v="2"/>
    <n v="857.1428571428571"/>
    <n v="24000"/>
    <n v="2880"/>
    <n v="180"/>
    <n v="20940"/>
  </r>
  <r>
    <n v="556"/>
    <x v="555"/>
    <x v="3"/>
    <n v="49000"/>
    <n v="30"/>
    <x v="6"/>
    <n v="1"/>
    <n v="1689.655172413793"/>
    <n v="49000"/>
    <n v="5880"/>
    <n v="367.5"/>
    <n v="42752.5"/>
  </r>
  <r>
    <n v="557"/>
    <x v="556"/>
    <x v="4"/>
    <n v="30000"/>
    <n v="30"/>
    <x v="5"/>
    <n v="3"/>
    <n v="1111.111111111111"/>
    <n v="30000"/>
    <n v="3600"/>
    <n v="225"/>
    <n v="26175"/>
  </r>
  <r>
    <n v="558"/>
    <x v="557"/>
    <x v="5"/>
    <n v="58000"/>
    <n v="30"/>
    <x v="1"/>
    <n v="0"/>
    <n v="1933.3333333333333"/>
    <n v="58000"/>
    <n v="6960"/>
    <n v="435"/>
    <n v="50605"/>
  </r>
  <r>
    <n v="559"/>
    <x v="558"/>
    <x v="0"/>
    <n v="32000"/>
    <n v="30"/>
    <x v="3"/>
    <n v="9"/>
    <n v="1523.8095238095239"/>
    <n v="32000"/>
    <n v="3840"/>
    <n v="240"/>
    <n v="27920"/>
  </r>
  <r>
    <n v="560"/>
    <x v="559"/>
    <x v="1"/>
    <n v="44000"/>
    <n v="30"/>
    <x v="10"/>
    <n v="5"/>
    <n v="1760"/>
    <n v="44000"/>
    <n v="5280"/>
    <n v="330"/>
    <n v="38390"/>
  </r>
  <r>
    <n v="561"/>
    <x v="560"/>
    <x v="2"/>
    <n v="53000"/>
    <n v="30"/>
    <x v="10"/>
    <n v="5"/>
    <n v="2120"/>
    <n v="53000"/>
    <n v="6360"/>
    <n v="397.5"/>
    <n v="46242.5"/>
  </r>
  <r>
    <n v="562"/>
    <x v="561"/>
    <x v="3"/>
    <n v="26000"/>
    <n v="30"/>
    <x v="5"/>
    <n v="3"/>
    <n v="962.9629629629629"/>
    <n v="26000"/>
    <n v="3120"/>
    <n v="195"/>
    <n v="22685"/>
  </r>
  <r>
    <n v="563"/>
    <x v="562"/>
    <x v="4"/>
    <n v="21000"/>
    <n v="30"/>
    <x v="2"/>
    <n v="6"/>
    <n v="875"/>
    <n v="21000"/>
    <n v="2520"/>
    <n v="157.5"/>
    <n v="18322.5"/>
  </r>
  <r>
    <n v="564"/>
    <x v="563"/>
    <x v="5"/>
    <n v="51000"/>
    <n v="30"/>
    <x v="1"/>
    <n v="0"/>
    <n v="1700"/>
    <n v="51000"/>
    <n v="6120"/>
    <n v="382.5"/>
    <n v="44497.5"/>
  </r>
  <r>
    <n v="565"/>
    <x v="564"/>
    <x v="0"/>
    <n v="33000"/>
    <n v="30"/>
    <x v="8"/>
    <n v="8"/>
    <n v="1500"/>
    <n v="33000"/>
    <n v="3960"/>
    <n v="247.5"/>
    <n v="28792.5"/>
  </r>
  <r>
    <n v="566"/>
    <x v="565"/>
    <x v="1"/>
    <n v="45000"/>
    <n v="30"/>
    <x v="2"/>
    <n v="6"/>
    <n v="1875"/>
    <n v="45000"/>
    <n v="5400"/>
    <n v="337.5"/>
    <n v="39262.5"/>
  </r>
  <r>
    <n v="567"/>
    <x v="566"/>
    <x v="2"/>
    <n v="55000"/>
    <n v="30"/>
    <x v="4"/>
    <n v="7"/>
    <n v="2391.304347826087"/>
    <n v="55000"/>
    <n v="6600"/>
    <n v="412.5"/>
    <n v="47987.5"/>
  </r>
  <r>
    <n v="568"/>
    <x v="567"/>
    <x v="3"/>
    <n v="35000"/>
    <n v="30"/>
    <x v="2"/>
    <n v="6"/>
    <n v="1458.3333333333333"/>
    <n v="35000"/>
    <n v="4200"/>
    <n v="262.5"/>
    <n v="30537.5"/>
  </r>
  <r>
    <n v="569"/>
    <x v="568"/>
    <x v="4"/>
    <n v="38000"/>
    <n v="30"/>
    <x v="2"/>
    <n v="6"/>
    <n v="1583.3333333333333"/>
    <n v="38000"/>
    <n v="4560"/>
    <n v="285"/>
    <n v="33155"/>
  </r>
  <r>
    <n v="570"/>
    <x v="569"/>
    <x v="5"/>
    <n v="19000"/>
    <n v="30"/>
    <x v="4"/>
    <n v="7"/>
    <n v="826.0869565217391"/>
    <n v="19000"/>
    <n v="2280"/>
    <n v="142.5"/>
    <n v="16577.5"/>
  </r>
  <r>
    <n v="571"/>
    <x v="570"/>
    <x v="0"/>
    <n v="57000"/>
    <n v="30"/>
    <x v="0"/>
    <n v="10"/>
    <n v="2850"/>
    <n v="57000"/>
    <n v="6840"/>
    <n v="427.5"/>
    <n v="49732.5"/>
  </r>
  <r>
    <n v="572"/>
    <x v="571"/>
    <x v="1"/>
    <n v="22000"/>
    <n v="30"/>
    <x v="10"/>
    <n v="5"/>
    <n v="880"/>
    <n v="22000"/>
    <n v="2640"/>
    <n v="165"/>
    <n v="19195"/>
  </r>
  <r>
    <n v="573"/>
    <x v="572"/>
    <x v="2"/>
    <n v="27000"/>
    <n v="30"/>
    <x v="0"/>
    <n v="10"/>
    <n v="1350"/>
    <n v="27000"/>
    <n v="3240"/>
    <n v="202.5"/>
    <n v="23557.5"/>
  </r>
  <r>
    <n v="574"/>
    <x v="573"/>
    <x v="3"/>
    <n v="34000"/>
    <n v="30"/>
    <x v="9"/>
    <n v="2"/>
    <n v="1214.2857142857142"/>
    <n v="34000"/>
    <n v="4080"/>
    <n v="255"/>
    <n v="29665"/>
  </r>
  <r>
    <n v="575"/>
    <x v="574"/>
    <x v="4"/>
    <n v="54000"/>
    <n v="30"/>
    <x v="9"/>
    <n v="2"/>
    <n v="1928.5714285714287"/>
    <n v="54000"/>
    <n v="6480"/>
    <n v="405"/>
    <n v="47115"/>
  </r>
  <r>
    <n v="576"/>
    <x v="575"/>
    <x v="5"/>
    <n v="27000"/>
    <n v="30"/>
    <x v="3"/>
    <n v="9"/>
    <n v="1285.7142857142858"/>
    <n v="27000"/>
    <n v="3240"/>
    <n v="202.5"/>
    <n v="23557.5"/>
  </r>
  <r>
    <n v="577"/>
    <x v="576"/>
    <x v="0"/>
    <n v="34000"/>
    <n v="30"/>
    <x v="3"/>
    <n v="9"/>
    <n v="1619.047619047619"/>
    <n v="34000"/>
    <n v="4080"/>
    <n v="255"/>
    <n v="29665"/>
  </r>
  <r>
    <n v="578"/>
    <x v="577"/>
    <x v="1"/>
    <n v="27000"/>
    <n v="30"/>
    <x v="7"/>
    <n v="4"/>
    <n v="1038.4615384615386"/>
    <n v="27000.000000000004"/>
    <n v="3240.0000000000005"/>
    <n v="202.50000000000003"/>
    <n v="23557.500000000004"/>
  </r>
  <r>
    <n v="579"/>
    <x v="578"/>
    <x v="2"/>
    <n v="50000"/>
    <n v="30"/>
    <x v="1"/>
    <n v="0"/>
    <n v="1666.6666666666667"/>
    <n v="50000"/>
    <n v="6000"/>
    <n v="375"/>
    <n v="43625"/>
  </r>
  <r>
    <n v="580"/>
    <x v="579"/>
    <x v="3"/>
    <n v="36000"/>
    <n v="30"/>
    <x v="9"/>
    <n v="2"/>
    <n v="1285.7142857142858"/>
    <n v="36000"/>
    <n v="4320"/>
    <n v="270"/>
    <n v="31410"/>
  </r>
  <r>
    <n v="581"/>
    <x v="580"/>
    <x v="4"/>
    <n v="52000"/>
    <n v="30"/>
    <x v="8"/>
    <n v="8"/>
    <n v="2363.6363636363635"/>
    <n v="52000"/>
    <n v="6240"/>
    <n v="390"/>
    <n v="45370"/>
  </r>
  <r>
    <n v="582"/>
    <x v="581"/>
    <x v="5"/>
    <n v="38000"/>
    <n v="30"/>
    <x v="9"/>
    <n v="2"/>
    <n v="1357.142857142857"/>
    <n v="38000"/>
    <n v="4560"/>
    <n v="285"/>
    <n v="33155"/>
  </r>
  <r>
    <n v="583"/>
    <x v="582"/>
    <x v="0"/>
    <n v="41000"/>
    <n v="30"/>
    <x v="4"/>
    <n v="7"/>
    <n v="1782.608695652174"/>
    <n v="41000"/>
    <n v="4920"/>
    <n v="307.5"/>
    <n v="35772.5"/>
  </r>
  <r>
    <n v="584"/>
    <x v="583"/>
    <x v="1"/>
    <n v="43000"/>
    <n v="30"/>
    <x v="2"/>
    <n v="6"/>
    <n v="1791.6666666666667"/>
    <n v="43000"/>
    <n v="5160"/>
    <n v="322.5"/>
    <n v="37517.5"/>
  </r>
  <r>
    <n v="585"/>
    <x v="584"/>
    <x v="2"/>
    <n v="38000"/>
    <n v="30"/>
    <x v="4"/>
    <n v="7"/>
    <n v="1652.1739130434783"/>
    <n v="38000"/>
    <n v="4560"/>
    <n v="285"/>
    <n v="33155"/>
  </r>
  <r>
    <n v="586"/>
    <x v="585"/>
    <x v="3"/>
    <n v="28000"/>
    <n v="30"/>
    <x v="5"/>
    <n v="3"/>
    <n v="1037.037037037037"/>
    <n v="27999.999999999996"/>
    <n v="3359.9999999999995"/>
    <n v="209.99999999999997"/>
    <n v="24429.999999999996"/>
  </r>
  <r>
    <n v="587"/>
    <x v="586"/>
    <x v="4"/>
    <n v="45000"/>
    <n v="30"/>
    <x v="9"/>
    <n v="2"/>
    <n v="1607.142857142857"/>
    <n v="45000"/>
    <n v="5400"/>
    <n v="337.5"/>
    <n v="39262.5"/>
  </r>
  <r>
    <n v="588"/>
    <x v="587"/>
    <x v="5"/>
    <n v="54000"/>
    <n v="30"/>
    <x v="6"/>
    <n v="1"/>
    <n v="1862.0689655172414"/>
    <n v="54000"/>
    <n v="6480"/>
    <n v="405"/>
    <n v="47115"/>
  </r>
  <r>
    <n v="589"/>
    <x v="588"/>
    <x v="0"/>
    <n v="24000"/>
    <n v="30"/>
    <x v="7"/>
    <n v="4"/>
    <n v="923.0769230769231"/>
    <n v="24000"/>
    <n v="2880"/>
    <n v="180"/>
    <n v="20940"/>
  </r>
  <r>
    <n v="590"/>
    <x v="589"/>
    <x v="1"/>
    <n v="24000"/>
    <n v="30"/>
    <x v="10"/>
    <n v="5"/>
    <n v="960"/>
    <n v="24000"/>
    <n v="2880"/>
    <n v="180"/>
    <n v="20940"/>
  </r>
  <r>
    <n v="591"/>
    <x v="590"/>
    <x v="2"/>
    <n v="30000"/>
    <n v="30"/>
    <x v="5"/>
    <n v="3"/>
    <n v="1111.111111111111"/>
    <n v="30000"/>
    <n v="3600"/>
    <n v="225"/>
    <n v="26175"/>
  </r>
  <r>
    <n v="592"/>
    <x v="591"/>
    <x v="3"/>
    <n v="15000"/>
    <n v="30"/>
    <x v="10"/>
    <n v="5"/>
    <n v="600"/>
    <n v="15000"/>
    <n v="1800"/>
    <n v="112.5"/>
    <n v="13087.5"/>
  </r>
  <r>
    <n v="593"/>
    <x v="592"/>
    <x v="4"/>
    <n v="50000"/>
    <n v="30"/>
    <x v="8"/>
    <n v="8"/>
    <n v="2272.7272727272725"/>
    <n v="49999.99999999999"/>
    <n v="5999.999999999999"/>
    <n v="374.99999999999994"/>
    <n v="43624.99999999999"/>
  </r>
  <r>
    <n v="594"/>
    <x v="593"/>
    <x v="5"/>
    <n v="42000"/>
    <n v="30"/>
    <x v="1"/>
    <n v="0"/>
    <n v="1400"/>
    <n v="42000"/>
    <n v="5040"/>
    <n v="315"/>
    <n v="36645"/>
  </r>
  <r>
    <n v="595"/>
    <x v="594"/>
    <x v="0"/>
    <n v="60000"/>
    <n v="30"/>
    <x v="8"/>
    <n v="8"/>
    <n v="2727.2727272727275"/>
    <n v="60000.00000000001"/>
    <n v="7200.000000000001"/>
    <n v="450.00000000000006"/>
    <n v="52350.00000000001"/>
  </r>
  <r>
    <n v="596"/>
    <x v="595"/>
    <x v="1"/>
    <n v="55000"/>
    <n v="30"/>
    <x v="5"/>
    <n v="3"/>
    <n v="2037.037037037037"/>
    <n v="55000"/>
    <n v="6600"/>
    <n v="412.5"/>
    <n v="47987.5"/>
  </r>
  <r>
    <n v="597"/>
    <x v="596"/>
    <x v="2"/>
    <n v="30000"/>
    <n v="30"/>
    <x v="0"/>
    <n v="10"/>
    <n v="1500"/>
    <n v="30000"/>
    <n v="3600"/>
    <n v="225"/>
    <n v="26175"/>
  </r>
  <r>
    <n v="598"/>
    <x v="597"/>
    <x v="3"/>
    <n v="51000"/>
    <n v="30"/>
    <x v="0"/>
    <n v="10"/>
    <n v="2550"/>
    <n v="51000"/>
    <n v="6120"/>
    <n v="382.5"/>
    <n v="44497.5"/>
  </r>
  <r>
    <n v="599"/>
    <x v="598"/>
    <x v="4"/>
    <n v="42000"/>
    <n v="30"/>
    <x v="0"/>
    <n v="10"/>
    <n v="2100"/>
    <n v="42000"/>
    <n v="5040"/>
    <n v="315"/>
    <n v="36645"/>
  </r>
  <r>
    <n v="600"/>
    <x v="599"/>
    <x v="5"/>
    <n v="40000"/>
    <n v="30"/>
    <x v="8"/>
    <n v="8"/>
    <n v="1818.1818181818182"/>
    <n v="40000"/>
    <n v="4800"/>
    <n v="300"/>
    <n v="34900"/>
  </r>
  <r>
    <n v="601"/>
    <x v="600"/>
    <x v="0"/>
    <n v="24000"/>
    <n v="30"/>
    <x v="7"/>
    <n v="4"/>
    <n v="923.0769230769231"/>
    <n v="24000"/>
    <n v="2880"/>
    <n v="180"/>
    <n v="20940"/>
  </r>
  <r>
    <n v="602"/>
    <x v="601"/>
    <x v="1"/>
    <n v="54000"/>
    <n v="30"/>
    <x v="2"/>
    <n v="6"/>
    <n v="2250"/>
    <n v="54000"/>
    <n v="6480"/>
    <n v="405"/>
    <n v="47115"/>
  </r>
  <r>
    <n v="603"/>
    <x v="602"/>
    <x v="2"/>
    <n v="32000"/>
    <n v="30"/>
    <x v="8"/>
    <n v="8"/>
    <n v="1454.5454545454545"/>
    <n v="32000"/>
    <n v="3840"/>
    <n v="240"/>
    <n v="27920"/>
  </r>
  <r>
    <n v="604"/>
    <x v="603"/>
    <x v="3"/>
    <n v="38000"/>
    <n v="30"/>
    <x v="3"/>
    <n v="9"/>
    <n v="1809.5238095238096"/>
    <n v="38000"/>
    <n v="4560"/>
    <n v="285"/>
    <n v="33155"/>
  </r>
  <r>
    <n v="605"/>
    <x v="604"/>
    <x v="4"/>
    <n v="60000"/>
    <n v="30"/>
    <x v="6"/>
    <n v="1"/>
    <n v="2068.9655172413795"/>
    <n v="60000.00000000001"/>
    <n v="7200.000000000001"/>
    <n v="450.00000000000006"/>
    <n v="52350.00000000001"/>
  </r>
  <r>
    <n v="606"/>
    <x v="605"/>
    <x v="5"/>
    <n v="59000"/>
    <n v="30"/>
    <x v="9"/>
    <n v="2"/>
    <n v="2107.1428571428573"/>
    <n v="59000.00000000001"/>
    <n v="7080.000000000001"/>
    <n v="442.50000000000006"/>
    <n v="51477.50000000001"/>
  </r>
  <r>
    <n v="607"/>
    <x v="606"/>
    <x v="0"/>
    <n v="23000"/>
    <n v="30"/>
    <x v="0"/>
    <n v="10"/>
    <n v="1150"/>
    <n v="23000"/>
    <n v="2760"/>
    <n v="172.5"/>
    <n v="20067.5"/>
  </r>
  <r>
    <n v="608"/>
    <x v="607"/>
    <x v="1"/>
    <n v="27000"/>
    <n v="30"/>
    <x v="1"/>
    <n v="0"/>
    <n v="900"/>
    <n v="27000"/>
    <n v="3240"/>
    <n v="202.5"/>
    <n v="23557.5"/>
  </r>
  <r>
    <n v="609"/>
    <x v="608"/>
    <x v="2"/>
    <n v="19000"/>
    <n v="30"/>
    <x v="5"/>
    <n v="3"/>
    <n v="703.7037037037037"/>
    <n v="19000"/>
    <n v="2280"/>
    <n v="142.5"/>
    <n v="16577.5"/>
  </r>
  <r>
    <n v="610"/>
    <x v="609"/>
    <x v="3"/>
    <n v="20000"/>
    <n v="30"/>
    <x v="6"/>
    <n v="1"/>
    <n v="689.6551724137931"/>
    <n v="20000"/>
    <n v="2400"/>
    <n v="150"/>
    <n v="17450"/>
  </r>
  <r>
    <n v="611"/>
    <x v="610"/>
    <x v="4"/>
    <n v="18000"/>
    <n v="30"/>
    <x v="9"/>
    <n v="2"/>
    <n v="642.8571428571429"/>
    <n v="18000"/>
    <n v="2160"/>
    <n v="135"/>
    <n v="15705"/>
  </r>
  <r>
    <n v="612"/>
    <x v="611"/>
    <x v="5"/>
    <n v="32000"/>
    <n v="30"/>
    <x v="5"/>
    <n v="3"/>
    <n v="1185.1851851851852"/>
    <n v="32000"/>
    <n v="3840"/>
    <n v="240"/>
    <n v="27920"/>
  </r>
  <r>
    <n v="613"/>
    <x v="612"/>
    <x v="0"/>
    <n v="29000"/>
    <n v="30"/>
    <x v="9"/>
    <n v="2"/>
    <n v="1035.7142857142858"/>
    <n v="29000"/>
    <n v="3480"/>
    <n v="217.5"/>
    <n v="25302.5"/>
  </r>
  <r>
    <n v="614"/>
    <x v="613"/>
    <x v="1"/>
    <n v="52000"/>
    <n v="30"/>
    <x v="7"/>
    <n v="4"/>
    <n v="2000"/>
    <n v="52000"/>
    <n v="6240"/>
    <n v="390"/>
    <n v="45370"/>
  </r>
  <r>
    <n v="615"/>
    <x v="614"/>
    <x v="2"/>
    <n v="33000"/>
    <n v="30"/>
    <x v="10"/>
    <n v="5"/>
    <n v="1320"/>
    <n v="33000"/>
    <n v="3960"/>
    <n v="247.5"/>
    <n v="28792.5"/>
  </r>
  <r>
    <n v="616"/>
    <x v="615"/>
    <x v="3"/>
    <n v="22000"/>
    <n v="30"/>
    <x v="2"/>
    <n v="6"/>
    <n v="916.6666666666666"/>
    <n v="22000"/>
    <n v="2640"/>
    <n v="165"/>
    <n v="19195"/>
  </r>
  <r>
    <n v="617"/>
    <x v="616"/>
    <x v="4"/>
    <n v="56000"/>
    <n v="30"/>
    <x v="4"/>
    <n v="7"/>
    <n v="2434.782608695652"/>
    <n v="56000"/>
    <n v="6720"/>
    <n v="420"/>
    <n v="48860"/>
  </r>
  <r>
    <n v="618"/>
    <x v="617"/>
    <x v="5"/>
    <n v="20000"/>
    <n v="30"/>
    <x v="0"/>
    <n v="10"/>
    <n v="1000"/>
    <n v="20000"/>
    <n v="2400"/>
    <n v="150"/>
    <n v="17450"/>
  </r>
  <r>
    <n v="619"/>
    <x v="618"/>
    <x v="0"/>
    <n v="41000"/>
    <n v="30"/>
    <x v="9"/>
    <n v="2"/>
    <n v="1464.2857142857142"/>
    <n v="41000"/>
    <n v="4920"/>
    <n v="307.5"/>
    <n v="35772.5"/>
  </r>
  <r>
    <n v="620"/>
    <x v="619"/>
    <x v="1"/>
    <n v="54000"/>
    <n v="30"/>
    <x v="7"/>
    <n v="4"/>
    <n v="2076.923076923077"/>
    <n v="54000.00000000001"/>
    <n v="6480.000000000001"/>
    <n v="405.00000000000006"/>
    <n v="47115.00000000001"/>
  </r>
  <r>
    <n v="621"/>
    <x v="620"/>
    <x v="2"/>
    <n v="43000"/>
    <n v="30"/>
    <x v="7"/>
    <n v="4"/>
    <n v="1653.8461538461538"/>
    <n v="43000"/>
    <n v="5160"/>
    <n v="322.5"/>
    <n v="37517.5"/>
  </r>
  <r>
    <n v="622"/>
    <x v="621"/>
    <x v="3"/>
    <n v="30000"/>
    <n v="30"/>
    <x v="0"/>
    <n v="10"/>
    <n v="1500"/>
    <n v="30000"/>
    <n v="3600"/>
    <n v="225"/>
    <n v="26175"/>
  </r>
  <r>
    <n v="623"/>
    <x v="622"/>
    <x v="4"/>
    <n v="56000"/>
    <n v="30"/>
    <x v="8"/>
    <n v="8"/>
    <n v="2545.4545454545455"/>
    <n v="56000"/>
    <n v="6720"/>
    <n v="420"/>
    <n v="48860"/>
  </r>
  <r>
    <n v="624"/>
    <x v="623"/>
    <x v="5"/>
    <n v="24000"/>
    <n v="30"/>
    <x v="1"/>
    <n v="0"/>
    <n v="800"/>
    <n v="24000"/>
    <n v="2880"/>
    <n v="180"/>
    <n v="20940"/>
  </r>
  <r>
    <n v="625"/>
    <x v="624"/>
    <x v="0"/>
    <n v="30000"/>
    <n v="30"/>
    <x v="4"/>
    <n v="7"/>
    <n v="1304.3478260869565"/>
    <n v="30000"/>
    <n v="3600"/>
    <n v="225"/>
    <n v="26175"/>
  </r>
  <r>
    <n v="626"/>
    <x v="625"/>
    <x v="1"/>
    <n v="15000"/>
    <n v="30"/>
    <x v="5"/>
    <n v="3"/>
    <n v="555.5555555555555"/>
    <n v="15000"/>
    <n v="1800"/>
    <n v="112.5"/>
    <n v="13087.5"/>
  </r>
  <r>
    <n v="627"/>
    <x v="626"/>
    <x v="2"/>
    <n v="33000"/>
    <n v="30"/>
    <x v="8"/>
    <n v="8"/>
    <n v="1500"/>
    <n v="33000"/>
    <n v="3960"/>
    <n v="247.5"/>
    <n v="28792.5"/>
  </r>
  <r>
    <n v="628"/>
    <x v="627"/>
    <x v="3"/>
    <n v="54000"/>
    <n v="30"/>
    <x v="1"/>
    <n v="0"/>
    <n v="1800"/>
    <n v="54000"/>
    <n v="6480"/>
    <n v="405"/>
    <n v="47115"/>
  </r>
  <r>
    <n v="629"/>
    <x v="628"/>
    <x v="4"/>
    <n v="28000"/>
    <n v="30"/>
    <x v="6"/>
    <n v="1"/>
    <n v="965.5172413793103"/>
    <n v="28000"/>
    <n v="3360"/>
    <n v="210"/>
    <n v="24430"/>
  </r>
  <r>
    <n v="630"/>
    <x v="629"/>
    <x v="5"/>
    <n v="56000"/>
    <n v="30"/>
    <x v="3"/>
    <n v="9"/>
    <n v="2666.6666666666665"/>
    <n v="56000"/>
    <n v="6720"/>
    <n v="420"/>
    <n v="48860"/>
  </r>
  <r>
    <n v="631"/>
    <x v="630"/>
    <x v="0"/>
    <n v="52000"/>
    <n v="30"/>
    <x v="0"/>
    <n v="10"/>
    <n v="2600"/>
    <n v="52000"/>
    <n v="6240"/>
    <n v="390"/>
    <n v="45370"/>
  </r>
  <r>
    <n v="632"/>
    <x v="631"/>
    <x v="1"/>
    <n v="31000"/>
    <n v="30"/>
    <x v="4"/>
    <n v="7"/>
    <n v="1347.8260869565217"/>
    <n v="31000"/>
    <n v="3720"/>
    <n v="232.5"/>
    <n v="27047.5"/>
  </r>
  <r>
    <n v="633"/>
    <x v="632"/>
    <x v="2"/>
    <n v="36000"/>
    <n v="30"/>
    <x v="0"/>
    <n v="10"/>
    <n v="1800"/>
    <n v="36000"/>
    <n v="4320"/>
    <n v="270"/>
    <n v="31410"/>
  </r>
  <r>
    <n v="634"/>
    <x v="633"/>
    <x v="3"/>
    <n v="19000"/>
    <n v="30"/>
    <x v="4"/>
    <n v="7"/>
    <n v="826.0869565217391"/>
    <n v="19000"/>
    <n v="2280"/>
    <n v="142.5"/>
    <n v="16577.5"/>
  </r>
  <r>
    <n v="635"/>
    <x v="634"/>
    <x v="4"/>
    <n v="20000"/>
    <n v="30"/>
    <x v="2"/>
    <n v="6"/>
    <n v="833.3333333333334"/>
    <n v="20000"/>
    <n v="2400"/>
    <n v="150"/>
    <n v="17450"/>
  </r>
  <r>
    <n v="636"/>
    <x v="635"/>
    <x v="5"/>
    <n v="37000"/>
    <n v="30"/>
    <x v="7"/>
    <n v="4"/>
    <n v="1423.076923076923"/>
    <n v="37000"/>
    <n v="4440"/>
    <n v="277.5"/>
    <n v="32282.5"/>
  </r>
  <r>
    <n v="637"/>
    <x v="636"/>
    <x v="0"/>
    <n v="23000"/>
    <n v="30"/>
    <x v="4"/>
    <n v="7"/>
    <n v="1000"/>
    <n v="23000"/>
    <n v="2760"/>
    <n v="172.5"/>
    <n v="20067.5"/>
  </r>
  <r>
    <n v="638"/>
    <x v="637"/>
    <x v="1"/>
    <n v="24000"/>
    <n v="30"/>
    <x v="8"/>
    <n v="8"/>
    <n v="1090.909090909091"/>
    <n v="24000"/>
    <n v="2880"/>
    <n v="180"/>
    <n v="20940"/>
  </r>
  <r>
    <n v="639"/>
    <x v="638"/>
    <x v="2"/>
    <n v="34000"/>
    <n v="30"/>
    <x v="2"/>
    <n v="6"/>
    <n v="1416.6666666666667"/>
    <n v="34000"/>
    <n v="4080"/>
    <n v="255"/>
    <n v="29665"/>
  </r>
  <r>
    <n v="640"/>
    <x v="639"/>
    <x v="3"/>
    <n v="33000"/>
    <n v="30"/>
    <x v="10"/>
    <n v="5"/>
    <n v="1320"/>
    <n v="33000"/>
    <n v="3960"/>
    <n v="247.5"/>
    <n v="28792.5"/>
  </r>
  <r>
    <n v="641"/>
    <x v="640"/>
    <x v="4"/>
    <n v="42000"/>
    <n v="30"/>
    <x v="4"/>
    <n v="7"/>
    <n v="1826.0869565217392"/>
    <n v="42000"/>
    <n v="5040"/>
    <n v="315"/>
    <n v="36645"/>
  </r>
  <r>
    <n v="642"/>
    <x v="641"/>
    <x v="5"/>
    <n v="33000"/>
    <n v="30"/>
    <x v="4"/>
    <n v="7"/>
    <n v="1434.7826086956522"/>
    <n v="33000"/>
    <n v="3960"/>
    <n v="247.5"/>
    <n v="28792.5"/>
  </r>
  <r>
    <n v="643"/>
    <x v="642"/>
    <x v="0"/>
    <n v="30000"/>
    <n v="30"/>
    <x v="4"/>
    <n v="7"/>
    <n v="1304.3478260869565"/>
    <n v="30000"/>
    <n v="3600"/>
    <n v="225"/>
    <n v="26175"/>
  </r>
  <r>
    <n v="644"/>
    <x v="643"/>
    <x v="1"/>
    <n v="52000"/>
    <n v="30"/>
    <x v="6"/>
    <n v="1"/>
    <n v="1793.103448275862"/>
    <n v="52000"/>
    <n v="6240"/>
    <n v="390"/>
    <n v="45370"/>
  </r>
  <r>
    <n v="645"/>
    <x v="644"/>
    <x v="2"/>
    <n v="33000"/>
    <n v="30"/>
    <x v="2"/>
    <n v="6"/>
    <n v="1375"/>
    <n v="33000"/>
    <n v="3960"/>
    <n v="247.5"/>
    <n v="28792.5"/>
  </r>
  <r>
    <n v="646"/>
    <x v="645"/>
    <x v="3"/>
    <n v="15000"/>
    <n v="30"/>
    <x v="4"/>
    <n v="7"/>
    <n v="652.1739130434783"/>
    <n v="15000"/>
    <n v="1800"/>
    <n v="112.5"/>
    <n v="13087.5"/>
  </r>
  <r>
    <n v="647"/>
    <x v="646"/>
    <x v="4"/>
    <n v="17000"/>
    <n v="30"/>
    <x v="3"/>
    <n v="9"/>
    <n v="809.5238095238095"/>
    <n v="17000"/>
    <n v="2040"/>
    <n v="127.5"/>
    <n v="14832.5"/>
  </r>
  <r>
    <n v="648"/>
    <x v="647"/>
    <x v="5"/>
    <n v="31000"/>
    <n v="30"/>
    <x v="6"/>
    <n v="1"/>
    <n v="1068.9655172413793"/>
    <n v="31000"/>
    <n v="3720"/>
    <n v="232.5"/>
    <n v="27047.5"/>
  </r>
  <r>
    <n v="649"/>
    <x v="648"/>
    <x v="0"/>
    <n v="22000"/>
    <n v="30"/>
    <x v="3"/>
    <n v="9"/>
    <n v="1047.6190476190477"/>
    <n v="22000"/>
    <n v="2640"/>
    <n v="165"/>
    <n v="19195"/>
  </r>
  <r>
    <n v="650"/>
    <x v="649"/>
    <x v="1"/>
    <n v="43000"/>
    <n v="30"/>
    <x v="8"/>
    <n v="8"/>
    <n v="1954.5454545454545"/>
    <n v="43000"/>
    <n v="5160"/>
    <n v="322.5"/>
    <n v="37517.5"/>
  </r>
  <r>
    <n v="651"/>
    <x v="650"/>
    <x v="2"/>
    <n v="46000"/>
    <n v="30"/>
    <x v="2"/>
    <n v="6"/>
    <n v="1916.6666666666667"/>
    <n v="46000"/>
    <n v="5520"/>
    <n v="345"/>
    <n v="40135"/>
  </r>
  <r>
    <n v="652"/>
    <x v="651"/>
    <x v="3"/>
    <n v="58000"/>
    <n v="30"/>
    <x v="9"/>
    <n v="2"/>
    <n v="2071.4285714285716"/>
    <n v="58000"/>
    <n v="6960"/>
    <n v="435"/>
    <n v="50605"/>
  </r>
  <r>
    <n v="653"/>
    <x v="652"/>
    <x v="4"/>
    <n v="52000"/>
    <n v="30"/>
    <x v="7"/>
    <n v="4"/>
    <n v="2000"/>
    <n v="52000"/>
    <n v="6240"/>
    <n v="390"/>
    <n v="45370"/>
  </r>
  <r>
    <n v="654"/>
    <x v="653"/>
    <x v="5"/>
    <n v="58000"/>
    <n v="30"/>
    <x v="6"/>
    <n v="1"/>
    <n v="2000"/>
    <n v="58000"/>
    <n v="6960"/>
    <n v="435"/>
    <n v="50605"/>
  </r>
  <r>
    <n v="655"/>
    <x v="654"/>
    <x v="0"/>
    <n v="45000"/>
    <n v="30"/>
    <x v="7"/>
    <n v="4"/>
    <n v="1730.7692307692307"/>
    <n v="45000"/>
    <n v="5400"/>
    <n v="337.5"/>
    <n v="39262.5"/>
  </r>
  <r>
    <n v="656"/>
    <x v="655"/>
    <x v="1"/>
    <n v="41000"/>
    <n v="30"/>
    <x v="6"/>
    <n v="1"/>
    <n v="1413.7931034482758"/>
    <n v="41000"/>
    <n v="4920"/>
    <n v="307.5"/>
    <n v="35772.5"/>
  </r>
  <r>
    <n v="657"/>
    <x v="656"/>
    <x v="2"/>
    <n v="33000"/>
    <n v="30"/>
    <x v="3"/>
    <n v="9"/>
    <n v="1571.4285714285713"/>
    <n v="33000"/>
    <n v="3960"/>
    <n v="247.5"/>
    <n v="28792.5"/>
  </r>
  <r>
    <n v="658"/>
    <x v="657"/>
    <x v="3"/>
    <n v="30000"/>
    <n v="30"/>
    <x v="10"/>
    <n v="5"/>
    <n v="1200"/>
    <n v="30000"/>
    <n v="3600"/>
    <n v="225"/>
    <n v="26175"/>
  </r>
  <r>
    <n v="659"/>
    <x v="658"/>
    <x v="4"/>
    <n v="54000"/>
    <n v="30"/>
    <x v="5"/>
    <n v="3"/>
    <n v="2000"/>
    <n v="54000"/>
    <n v="6480"/>
    <n v="405"/>
    <n v="47115"/>
  </r>
  <r>
    <n v="660"/>
    <x v="659"/>
    <x v="5"/>
    <n v="19000"/>
    <n v="30"/>
    <x v="3"/>
    <n v="9"/>
    <n v="904.7619047619048"/>
    <n v="19000"/>
    <n v="2280"/>
    <n v="142.5"/>
    <n v="16577.5"/>
  </r>
  <r>
    <n v="661"/>
    <x v="660"/>
    <x v="0"/>
    <n v="32000"/>
    <n v="30"/>
    <x v="4"/>
    <n v="7"/>
    <n v="1391.304347826087"/>
    <n v="32000"/>
    <n v="3840"/>
    <n v="240"/>
    <n v="27920"/>
  </r>
  <r>
    <n v="662"/>
    <x v="661"/>
    <x v="1"/>
    <n v="51000"/>
    <n v="30"/>
    <x v="6"/>
    <n v="1"/>
    <n v="1758.6206896551723"/>
    <n v="51000"/>
    <n v="6120"/>
    <n v="382.5"/>
    <n v="44497.5"/>
  </r>
  <r>
    <n v="663"/>
    <x v="662"/>
    <x v="2"/>
    <n v="38000"/>
    <n v="30"/>
    <x v="7"/>
    <n v="4"/>
    <n v="1461.5384615384614"/>
    <n v="38000"/>
    <n v="4560"/>
    <n v="285"/>
    <n v="33155"/>
  </r>
  <r>
    <n v="664"/>
    <x v="663"/>
    <x v="3"/>
    <n v="15000"/>
    <n v="30"/>
    <x v="1"/>
    <n v="0"/>
    <n v="500"/>
    <n v="15000"/>
    <n v="1800"/>
    <n v="112.5"/>
    <n v="13087.5"/>
  </r>
  <r>
    <n v="665"/>
    <x v="664"/>
    <x v="4"/>
    <n v="50000"/>
    <n v="30"/>
    <x v="9"/>
    <n v="2"/>
    <n v="1785.7142857142858"/>
    <n v="50000"/>
    <n v="6000"/>
    <n v="375"/>
    <n v="43625"/>
  </r>
  <r>
    <n v="666"/>
    <x v="665"/>
    <x v="5"/>
    <n v="45000"/>
    <n v="30"/>
    <x v="0"/>
    <n v="10"/>
    <n v="2250"/>
    <n v="45000"/>
    <n v="5400"/>
    <n v="337.5"/>
    <n v="39262.5"/>
  </r>
  <r>
    <n v="667"/>
    <x v="666"/>
    <x v="0"/>
    <n v="37000"/>
    <n v="30"/>
    <x v="0"/>
    <n v="10"/>
    <n v="1850"/>
    <n v="37000"/>
    <n v="4440"/>
    <n v="277.5"/>
    <n v="32282.5"/>
  </r>
  <r>
    <n v="668"/>
    <x v="667"/>
    <x v="1"/>
    <n v="35000"/>
    <n v="30"/>
    <x v="7"/>
    <n v="4"/>
    <n v="1346.1538461538462"/>
    <n v="35000"/>
    <n v="4200"/>
    <n v="262.5"/>
    <n v="30537.5"/>
  </r>
  <r>
    <n v="669"/>
    <x v="668"/>
    <x v="2"/>
    <n v="26000"/>
    <n v="30"/>
    <x v="7"/>
    <n v="4"/>
    <n v="1000"/>
    <n v="26000"/>
    <n v="3120"/>
    <n v="195"/>
    <n v="22685"/>
  </r>
  <r>
    <n v="670"/>
    <x v="669"/>
    <x v="3"/>
    <n v="15000"/>
    <n v="30"/>
    <x v="1"/>
    <n v="0"/>
    <n v="500"/>
    <n v="15000"/>
    <n v="1800"/>
    <n v="112.5"/>
    <n v="13087.5"/>
  </r>
  <r>
    <n v="671"/>
    <x v="670"/>
    <x v="4"/>
    <n v="19000"/>
    <n v="30"/>
    <x v="0"/>
    <n v="10"/>
    <n v="950"/>
    <n v="19000"/>
    <n v="2280"/>
    <n v="142.5"/>
    <n v="16577.5"/>
  </r>
  <r>
    <n v="672"/>
    <x v="671"/>
    <x v="5"/>
    <n v="25000"/>
    <n v="30"/>
    <x v="3"/>
    <n v="9"/>
    <n v="1190.4761904761904"/>
    <n v="24999.999999999996"/>
    <n v="2999.9999999999995"/>
    <n v="187.49999999999997"/>
    <n v="21812.499999999996"/>
  </r>
  <r>
    <n v="673"/>
    <x v="672"/>
    <x v="0"/>
    <n v="60000"/>
    <n v="30"/>
    <x v="0"/>
    <n v="10"/>
    <n v="3000"/>
    <n v="60000"/>
    <n v="7200"/>
    <n v="450"/>
    <n v="52350"/>
  </r>
  <r>
    <n v="674"/>
    <x v="673"/>
    <x v="1"/>
    <n v="52000"/>
    <n v="30"/>
    <x v="6"/>
    <n v="1"/>
    <n v="1793.103448275862"/>
    <n v="52000"/>
    <n v="6240"/>
    <n v="390"/>
    <n v="45370"/>
  </r>
  <r>
    <n v="675"/>
    <x v="674"/>
    <x v="2"/>
    <n v="33000"/>
    <n v="30"/>
    <x v="6"/>
    <n v="1"/>
    <n v="1137.9310344827586"/>
    <n v="33000"/>
    <n v="3960"/>
    <n v="247.5"/>
    <n v="28792.5"/>
  </r>
  <r>
    <n v="676"/>
    <x v="675"/>
    <x v="3"/>
    <n v="37000"/>
    <n v="30"/>
    <x v="4"/>
    <n v="7"/>
    <n v="1608.695652173913"/>
    <n v="37000"/>
    <n v="4440"/>
    <n v="277.5"/>
    <n v="32282.5"/>
  </r>
  <r>
    <n v="677"/>
    <x v="676"/>
    <x v="4"/>
    <n v="26000"/>
    <n v="30"/>
    <x v="1"/>
    <n v="0"/>
    <n v="866.6666666666666"/>
    <n v="26000"/>
    <n v="3120"/>
    <n v="195"/>
    <n v="22685"/>
  </r>
  <r>
    <n v="678"/>
    <x v="677"/>
    <x v="5"/>
    <n v="25000"/>
    <n v="30"/>
    <x v="0"/>
    <n v="10"/>
    <n v="1250"/>
    <n v="25000"/>
    <n v="3000"/>
    <n v="187.5"/>
    <n v="21812.5"/>
  </r>
  <r>
    <n v="679"/>
    <x v="678"/>
    <x v="0"/>
    <n v="24000"/>
    <n v="30"/>
    <x v="4"/>
    <n v="7"/>
    <n v="1043.4782608695652"/>
    <n v="24000"/>
    <n v="2880"/>
    <n v="180"/>
    <n v="20940"/>
  </r>
  <r>
    <n v="680"/>
    <x v="679"/>
    <x v="1"/>
    <n v="54000"/>
    <n v="30"/>
    <x v="3"/>
    <n v="9"/>
    <n v="2571.4285714285716"/>
    <n v="54000"/>
    <n v="6480"/>
    <n v="405"/>
    <n v="47115"/>
  </r>
  <r>
    <n v="681"/>
    <x v="680"/>
    <x v="2"/>
    <n v="25000"/>
    <n v="30"/>
    <x v="1"/>
    <n v="0"/>
    <n v="833.3333333333334"/>
    <n v="25000"/>
    <n v="3000"/>
    <n v="187.5"/>
    <n v="21812.5"/>
  </r>
  <r>
    <n v="682"/>
    <x v="681"/>
    <x v="3"/>
    <n v="46000"/>
    <n v="30"/>
    <x v="9"/>
    <n v="2"/>
    <n v="1642.857142857143"/>
    <n v="46000"/>
    <n v="5520"/>
    <n v="345"/>
    <n v="40135"/>
  </r>
  <r>
    <n v="683"/>
    <x v="682"/>
    <x v="4"/>
    <n v="18000"/>
    <n v="30"/>
    <x v="2"/>
    <n v="6"/>
    <n v="750"/>
    <n v="18000"/>
    <n v="2160"/>
    <n v="135"/>
    <n v="15705"/>
  </r>
  <r>
    <n v="684"/>
    <x v="683"/>
    <x v="5"/>
    <n v="47000"/>
    <n v="30"/>
    <x v="9"/>
    <n v="2"/>
    <n v="1678.5714285714287"/>
    <n v="47000"/>
    <n v="5640"/>
    <n v="352.5"/>
    <n v="41007.5"/>
  </r>
  <r>
    <n v="685"/>
    <x v="684"/>
    <x v="0"/>
    <n v="37000"/>
    <n v="30"/>
    <x v="10"/>
    <n v="5"/>
    <n v="1480"/>
    <n v="37000"/>
    <n v="4440"/>
    <n v="277.5"/>
    <n v="32282.5"/>
  </r>
  <r>
    <n v="686"/>
    <x v="685"/>
    <x v="1"/>
    <n v="57000"/>
    <n v="30"/>
    <x v="9"/>
    <n v="2"/>
    <n v="2035.7142857142858"/>
    <n v="57000"/>
    <n v="6840"/>
    <n v="427.5"/>
    <n v="49732.5"/>
  </r>
  <r>
    <n v="687"/>
    <x v="686"/>
    <x v="2"/>
    <n v="56000"/>
    <n v="30"/>
    <x v="1"/>
    <n v="0"/>
    <n v="1866.6666666666667"/>
    <n v="56000"/>
    <n v="6720"/>
    <n v="420"/>
    <n v="48860"/>
  </r>
  <r>
    <n v="688"/>
    <x v="687"/>
    <x v="3"/>
    <n v="37000"/>
    <n v="30"/>
    <x v="7"/>
    <n v="4"/>
    <n v="1423.076923076923"/>
    <n v="37000"/>
    <n v="4440"/>
    <n v="277.5"/>
    <n v="32282.5"/>
  </r>
  <r>
    <n v="689"/>
    <x v="688"/>
    <x v="4"/>
    <n v="38000"/>
    <n v="30"/>
    <x v="5"/>
    <n v="3"/>
    <n v="1407.4074074074074"/>
    <n v="38000"/>
    <n v="4560"/>
    <n v="285"/>
    <n v="33155"/>
  </r>
  <r>
    <n v="690"/>
    <x v="689"/>
    <x v="5"/>
    <n v="20000"/>
    <n v="30"/>
    <x v="4"/>
    <n v="7"/>
    <n v="869.5652173913044"/>
    <n v="20000"/>
    <n v="2400"/>
    <n v="150"/>
    <n v="17450"/>
  </r>
  <r>
    <n v="691"/>
    <x v="690"/>
    <x v="0"/>
    <n v="50000"/>
    <n v="30"/>
    <x v="4"/>
    <n v="7"/>
    <n v="2173.913043478261"/>
    <n v="50000"/>
    <n v="6000"/>
    <n v="375"/>
    <n v="43625"/>
  </r>
  <r>
    <n v="692"/>
    <x v="691"/>
    <x v="1"/>
    <n v="41000"/>
    <n v="30"/>
    <x v="8"/>
    <n v="8"/>
    <n v="1863.6363636363637"/>
    <n v="41000"/>
    <n v="4920"/>
    <n v="307.5"/>
    <n v="35772.5"/>
  </r>
  <r>
    <n v="693"/>
    <x v="692"/>
    <x v="2"/>
    <n v="42000"/>
    <n v="30"/>
    <x v="0"/>
    <n v="10"/>
    <n v="2100"/>
    <n v="42000"/>
    <n v="5040"/>
    <n v="315"/>
    <n v="36645"/>
  </r>
  <r>
    <n v="694"/>
    <x v="693"/>
    <x v="3"/>
    <n v="57000"/>
    <n v="30"/>
    <x v="1"/>
    <n v="0"/>
    <n v="1900"/>
    <n v="57000"/>
    <n v="6840"/>
    <n v="427.5"/>
    <n v="49732.5"/>
  </r>
  <r>
    <n v="695"/>
    <x v="694"/>
    <x v="4"/>
    <n v="27000"/>
    <n v="30"/>
    <x v="8"/>
    <n v="8"/>
    <n v="1227.2727272727273"/>
    <n v="27000"/>
    <n v="3240"/>
    <n v="202.5"/>
    <n v="23557.5"/>
  </r>
  <r>
    <n v="696"/>
    <x v="695"/>
    <x v="5"/>
    <n v="40000"/>
    <n v="30"/>
    <x v="2"/>
    <n v="6"/>
    <n v="1666.6666666666667"/>
    <n v="40000"/>
    <n v="4800"/>
    <n v="300"/>
    <n v="34900"/>
  </r>
  <r>
    <n v="697"/>
    <x v="696"/>
    <x v="0"/>
    <n v="24000"/>
    <n v="30"/>
    <x v="6"/>
    <n v="1"/>
    <n v="827.5862068965517"/>
    <n v="24000"/>
    <n v="2880"/>
    <n v="180"/>
    <n v="20940"/>
  </r>
  <r>
    <n v="698"/>
    <x v="697"/>
    <x v="1"/>
    <n v="29000"/>
    <n v="30"/>
    <x v="8"/>
    <n v="8"/>
    <n v="1318.1818181818182"/>
    <n v="29000"/>
    <n v="3480"/>
    <n v="217.5"/>
    <n v="25302.5"/>
  </r>
  <r>
    <n v="699"/>
    <x v="698"/>
    <x v="2"/>
    <n v="55000"/>
    <n v="30"/>
    <x v="4"/>
    <n v="7"/>
    <n v="2391.304347826087"/>
    <n v="55000"/>
    <n v="6600"/>
    <n v="412.5"/>
    <n v="47987.5"/>
  </r>
  <r>
    <n v="700"/>
    <x v="699"/>
    <x v="3"/>
    <n v="57000"/>
    <n v="30"/>
    <x v="7"/>
    <n v="4"/>
    <n v="2192.3076923076924"/>
    <n v="57000"/>
    <n v="6840"/>
    <n v="427.5"/>
    <n v="49732.5"/>
  </r>
  <r>
    <n v="701"/>
    <x v="700"/>
    <x v="4"/>
    <n v="37000"/>
    <n v="30"/>
    <x v="5"/>
    <n v="3"/>
    <n v="1370.3703703703704"/>
    <n v="37000"/>
    <n v="4440"/>
    <n v="277.5"/>
    <n v="32282.5"/>
  </r>
  <r>
    <n v="702"/>
    <x v="701"/>
    <x v="5"/>
    <n v="20000"/>
    <n v="30"/>
    <x v="5"/>
    <n v="3"/>
    <n v="740.7407407407408"/>
    <n v="20000"/>
    <n v="2400"/>
    <n v="150"/>
    <n v="17450"/>
  </r>
  <r>
    <n v="703"/>
    <x v="702"/>
    <x v="0"/>
    <n v="22000"/>
    <n v="30"/>
    <x v="0"/>
    <n v="10"/>
    <n v="1100"/>
    <n v="22000"/>
    <n v="2640"/>
    <n v="165"/>
    <n v="19195"/>
  </r>
  <r>
    <n v="704"/>
    <x v="703"/>
    <x v="1"/>
    <n v="22000"/>
    <n v="30"/>
    <x v="3"/>
    <n v="9"/>
    <n v="1047.6190476190477"/>
    <n v="22000"/>
    <n v="2640"/>
    <n v="165"/>
    <n v="19195"/>
  </r>
  <r>
    <n v="705"/>
    <x v="704"/>
    <x v="2"/>
    <n v="26000"/>
    <n v="30"/>
    <x v="10"/>
    <n v="5"/>
    <n v="1040"/>
    <n v="26000"/>
    <n v="3120"/>
    <n v="195"/>
    <n v="22685"/>
  </r>
  <r>
    <n v="706"/>
    <x v="705"/>
    <x v="3"/>
    <n v="34000"/>
    <n v="30"/>
    <x v="8"/>
    <n v="8"/>
    <n v="1545.4545454545455"/>
    <n v="34000"/>
    <n v="4080"/>
    <n v="255"/>
    <n v="29665"/>
  </r>
  <r>
    <n v="707"/>
    <x v="706"/>
    <x v="4"/>
    <n v="32000"/>
    <n v="30"/>
    <x v="10"/>
    <n v="5"/>
    <n v="1280"/>
    <n v="32000"/>
    <n v="3840"/>
    <n v="240"/>
    <n v="27920"/>
  </r>
  <r>
    <n v="708"/>
    <x v="707"/>
    <x v="5"/>
    <n v="55000"/>
    <n v="30"/>
    <x v="9"/>
    <n v="2"/>
    <n v="1964.2857142857142"/>
    <n v="55000"/>
    <n v="6600"/>
    <n v="412.5"/>
    <n v="47987.5"/>
  </r>
  <r>
    <n v="709"/>
    <x v="708"/>
    <x v="0"/>
    <n v="48000"/>
    <n v="30"/>
    <x v="4"/>
    <n v="7"/>
    <n v="2086.9565217391305"/>
    <n v="48000"/>
    <n v="5760"/>
    <n v="360"/>
    <n v="41880"/>
  </r>
  <r>
    <n v="710"/>
    <x v="709"/>
    <x v="1"/>
    <n v="38000"/>
    <n v="30"/>
    <x v="2"/>
    <n v="6"/>
    <n v="1583.3333333333333"/>
    <n v="38000"/>
    <n v="4560"/>
    <n v="285"/>
    <n v="33155"/>
  </r>
  <r>
    <n v="711"/>
    <x v="710"/>
    <x v="2"/>
    <n v="36000"/>
    <n v="30"/>
    <x v="2"/>
    <n v="6"/>
    <n v="1500"/>
    <n v="36000"/>
    <n v="4320"/>
    <n v="270"/>
    <n v="31410"/>
  </r>
  <r>
    <n v="712"/>
    <x v="711"/>
    <x v="3"/>
    <n v="15000"/>
    <n v="30"/>
    <x v="5"/>
    <n v="3"/>
    <n v="555.5555555555555"/>
    <n v="15000"/>
    <n v="1800"/>
    <n v="112.5"/>
    <n v="13087.5"/>
  </r>
  <r>
    <n v="713"/>
    <x v="712"/>
    <x v="4"/>
    <n v="26000"/>
    <n v="30"/>
    <x v="3"/>
    <n v="9"/>
    <n v="1238.095238095238"/>
    <n v="26000"/>
    <n v="3120"/>
    <n v="195"/>
    <n v="22685"/>
  </r>
  <r>
    <n v="714"/>
    <x v="713"/>
    <x v="5"/>
    <n v="16000"/>
    <n v="30"/>
    <x v="9"/>
    <n v="2"/>
    <n v="571.4285714285714"/>
    <n v="16000"/>
    <n v="1920"/>
    <n v="120"/>
    <n v="13960"/>
  </r>
  <r>
    <n v="715"/>
    <x v="714"/>
    <x v="0"/>
    <n v="57000"/>
    <n v="30"/>
    <x v="9"/>
    <n v="2"/>
    <n v="2035.7142857142858"/>
    <n v="57000"/>
    <n v="6840"/>
    <n v="427.5"/>
    <n v="49732.5"/>
  </r>
  <r>
    <n v="716"/>
    <x v="715"/>
    <x v="1"/>
    <n v="35000"/>
    <n v="30"/>
    <x v="6"/>
    <n v="1"/>
    <n v="1206.896551724138"/>
    <n v="35000"/>
    <n v="4200"/>
    <n v="262.5"/>
    <n v="30537.5"/>
  </r>
  <r>
    <n v="717"/>
    <x v="716"/>
    <x v="2"/>
    <n v="45000"/>
    <n v="30"/>
    <x v="0"/>
    <n v="10"/>
    <n v="2250"/>
    <n v="45000"/>
    <n v="5400"/>
    <n v="337.5"/>
    <n v="39262.5"/>
  </r>
  <r>
    <n v="718"/>
    <x v="717"/>
    <x v="3"/>
    <n v="23000"/>
    <n v="30"/>
    <x v="7"/>
    <n v="4"/>
    <n v="884.6153846153846"/>
    <n v="23000"/>
    <n v="2760"/>
    <n v="172.5"/>
    <n v="20067.5"/>
  </r>
  <r>
    <n v="719"/>
    <x v="718"/>
    <x v="4"/>
    <n v="32000"/>
    <n v="30"/>
    <x v="7"/>
    <n v="4"/>
    <n v="1230.7692307692307"/>
    <n v="32000"/>
    <n v="3840"/>
    <n v="240"/>
    <n v="27920"/>
  </r>
  <r>
    <n v="720"/>
    <x v="719"/>
    <x v="5"/>
    <n v="27000"/>
    <n v="30"/>
    <x v="6"/>
    <n v="1"/>
    <n v="931.0344827586207"/>
    <n v="27000"/>
    <n v="3240"/>
    <n v="202.5"/>
    <n v="23557.5"/>
  </r>
  <r>
    <n v="721"/>
    <x v="720"/>
    <x v="0"/>
    <n v="54000"/>
    <n v="30"/>
    <x v="4"/>
    <n v="7"/>
    <n v="2347.8260869565215"/>
    <n v="53999.99999999999"/>
    <n v="6479.999999999999"/>
    <n v="404.99999999999994"/>
    <n v="47114.99999999999"/>
  </r>
  <r>
    <n v="722"/>
    <x v="721"/>
    <x v="1"/>
    <n v="24000"/>
    <n v="30"/>
    <x v="2"/>
    <n v="6"/>
    <n v="1000"/>
    <n v="24000"/>
    <n v="2880"/>
    <n v="180"/>
    <n v="20940"/>
  </r>
  <r>
    <n v="723"/>
    <x v="722"/>
    <x v="2"/>
    <n v="16000"/>
    <n v="30"/>
    <x v="7"/>
    <n v="4"/>
    <n v="615.3846153846154"/>
    <n v="16000"/>
    <n v="1920"/>
    <n v="120"/>
    <n v="13960"/>
  </r>
  <r>
    <n v="724"/>
    <x v="723"/>
    <x v="3"/>
    <n v="28000"/>
    <n v="30"/>
    <x v="7"/>
    <n v="4"/>
    <n v="1076.923076923077"/>
    <n v="28000"/>
    <n v="3360"/>
    <n v="210"/>
    <n v="24430"/>
  </r>
  <r>
    <n v="725"/>
    <x v="724"/>
    <x v="4"/>
    <n v="18000"/>
    <n v="30"/>
    <x v="5"/>
    <n v="3"/>
    <n v="666.6666666666666"/>
    <n v="18000"/>
    <n v="2160"/>
    <n v="135"/>
    <n v="15705"/>
  </r>
  <r>
    <n v="726"/>
    <x v="725"/>
    <x v="5"/>
    <n v="49000"/>
    <n v="30"/>
    <x v="5"/>
    <n v="3"/>
    <n v="1814.8148148148148"/>
    <n v="49000"/>
    <n v="5880"/>
    <n v="367.5"/>
    <n v="42752.5"/>
  </r>
  <r>
    <n v="727"/>
    <x v="726"/>
    <x v="0"/>
    <n v="49000"/>
    <n v="30"/>
    <x v="7"/>
    <n v="4"/>
    <n v="1884.6153846153845"/>
    <n v="49000"/>
    <n v="5880"/>
    <n v="367.5"/>
    <n v="42752.5"/>
  </r>
  <r>
    <n v="728"/>
    <x v="727"/>
    <x v="1"/>
    <n v="32000"/>
    <n v="30"/>
    <x v="10"/>
    <n v="5"/>
    <n v="1280"/>
    <n v="32000"/>
    <n v="3840"/>
    <n v="240"/>
    <n v="27920"/>
  </r>
  <r>
    <n v="729"/>
    <x v="728"/>
    <x v="2"/>
    <n v="59000"/>
    <n v="30"/>
    <x v="0"/>
    <n v="10"/>
    <n v="2950"/>
    <n v="59000"/>
    <n v="7080"/>
    <n v="442.5"/>
    <n v="51477.5"/>
  </r>
  <r>
    <n v="730"/>
    <x v="729"/>
    <x v="3"/>
    <n v="31000"/>
    <n v="30"/>
    <x v="6"/>
    <n v="1"/>
    <n v="1068.9655172413793"/>
    <n v="31000"/>
    <n v="3720"/>
    <n v="232.5"/>
    <n v="27047.5"/>
  </r>
  <r>
    <n v="731"/>
    <x v="730"/>
    <x v="4"/>
    <n v="31000"/>
    <n v="30"/>
    <x v="0"/>
    <n v="10"/>
    <n v="1550"/>
    <n v="31000"/>
    <n v="3720"/>
    <n v="232.5"/>
    <n v="27047.5"/>
  </r>
  <r>
    <n v="732"/>
    <x v="731"/>
    <x v="5"/>
    <n v="30000"/>
    <n v="30"/>
    <x v="4"/>
    <n v="7"/>
    <n v="1304.3478260869565"/>
    <n v="30000"/>
    <n v="3600"/>
    <n v="225"/>
    <n v="26175"/>
  </r>
  <r>
    <n v="733"/>
    <x v="732"/>
    <x v="0"/>
    <n v="52000"/>
    <n v="30"/>
    <x v="2"/>
    <n v="6"/>
    <n v="2166.6666666666665"/>
    <n v="52000"/>
    <n v="6240"/>
    <n v="390"/>
    <n v="45370"/>
  </r>
  <r>
    <n v="734"/>
    <x v="733"/>
    <x v="1"/>
    <n v="26000"/>
    <n v="30"/>
    <x v="10"/>
    <n v="5"/>
    <n v="1040"/>
    <n v="26000"/>
    <n v="3120"/>
    <n v="195"/>
    <n v="22685"/>
  </r>
  <r>
    <n v="735"/>
    <x v="734"/>
    <x v="2"/>
    <n v="36000"/>
    <n v="30"/>
    <x v="4"/>
    <n v="7"/>
    <n v="1565.2173913043478"/>
    <n v="36000"/>
    <n v="4320"/>
    <n v="270"/>
    <n v="31410"/>
  </r>
  <r>
    <n v="736"/>
    <x v="735"/>
    <x v="3"/>
    <n v="49000"/>
    <n v="30"/>
    <x v="9"/>
    <n v="2"/>
    <n v="1750"/>
    <n v="49000"/>
    <n v="5880"/>
    <n v="367.5"/>
    <n v="42752.5"/>
  </r>
  <r>
    <n v="737"/>
    <x v="736"/>
    <x v="4"/>
    <n v="56000"/>
    <n v="30"/>
    <x v="4"/>
    <n v="7"/>
    <n v="2434.782608695652"/>
    <n v="56000"/>
    <n v="6720"/>
    <n v="420"/>
    <n v="48860"/>
  </r>
  <r>
    <n v="738"/>
    <x v="737"/>
    <x v="5"/>
    <n v="57000"/>
    <n v="30"/>
    <x v="2"/>
    <n v="6"/>
    <n v="2375"/>
    <n v="57000"/>
    <n v="6840"/>
    <n v="427.5"/>
    <n v="49732.5"/>
  </r>
  <r>
    <n v="739"/>
    <x v="738"/>
    <x v="0"/>
    <n v="33000"/>
    <n v="30"/>
    <x v="2"/>
    <n v="6"/>
    <n v="1375"/>
    <n v="33000"/>
    <n v="3960"/>
    <n v="247.5"/>
    <n v="28792.5"/>
  </r>
  <r>
    <n v="740"/>
    <x v="739"/>
    <x v="1"/>
    <n v="52000"/>
    <n v="30"/>
    <x v="5"/>
    <n v="3"/>
    <n v="1925.9259259259259"/>
    <n v="52000"/>
    <n v="6240"/>
    <n v="390"/>
    <n v="45370"/>
  </r>
  <r>
    <n v="741"/>
    <x v="740"/>
    <x v="2"/>
    <n v="22000"/>
    <n v="30"/>
    <x v="10"/>
    <n v="5"/>
    <n v="880"/>
    <n v="22000"/>
    <n v="2640"/>
    <n v="165"/>
    <n v="19195"/>
  </r>
  <r>
    <n v="742"/>
    <x v="741"/>
    <x v="3"/>
    <n v="58000"/>
    <n v="30"/>
    <x v="0"/>
    <n v="10"/>
    <n v="2900"/>
    <n v="58000"/>
    <n v="6960"/>
    <n v="435"/>
    <n v="50605"/>
  </r>
  <r>
    <n v="743"/>
    <x v="742"/>
    <x v="4"/>
    <n v="48000"/>
    <n v="30"/>
    <x v="6"/>
    <n v="1"/>
    <n v="1655.1724137931035"/>
    <n v="48000"/>
    <n v="5760"/>
    <n v="360"/>
    <n v="41880"/>
  </r>
  <r>
    <n v="744"/>
    <x v="743"/>
    <x v="5"/>
    <n v="35000"/>
    <n v="30"/>
    <x v="2"/>
    <n v="6"/>
    <n v="1458.3333333333333"/>
    <n v="35000"/>
    <n v="4200"/>
    <n v="262.5"/>
    <n v="30537.5"/>
  </r>
  <r>
    <n v="745"/>
    <x v="744"/>
    <x v="0"/>
    <n v="41000"/>
    <n v="30"/>
    <x v="2"/>
    <n v="6"/>
    <n v="1708.3333333333333"/>
    <n v="41000"/>
    <n v="4920"/>
    <n v="307.5"/>
    <n v="35772.5"/>
  </r>
  <r>
    <n v="746"/>
    <x v="745"/>
    <x v="1"/>
    <n v="34000"/>
    <n v="30"/>
    <x v="2"/>
    <n v="6"/>
    <n v="1416.6666666666667"/>
    <n v="34000"/>
    <n v="4080"/>
    <n v="255"/>
    <n v="29665"/>
  </r>
  <r>
    <n v="747"/>
    <x v="746"/>
    <x v="2"/>
    <n v="47000"/>
    <n v="30"/>
    <x v="1"/>
    <n v="0"/>
    <n v="1566.6666666666667"/>
    <n v="47000"/>
    <n v="5640"/>
    <n v="352.5"/>
    <n v="41007.5"/>
  </r>
  <r>
    <n v="748"/>
    <x v="747"/>
    <x v="3"/>
    <n v="34000"/>
    <n v="30"/>
    <x v="1"/>
    <n v="0"/>
    <n v="1133.3333333333333"/>
    <n v="34000"/>
    <n v="4080"/>
    <n v="255"/>
    <n v="29665"/>
  </r>
  <r>
    <n v="749"/>
    <x v="748"/>
    <x v="4"/>
    <n v="39000"/>
    <n v="30"/>
    <x v="8"/>
    <n v="8"/>
    <n v="1772.7272727272727"/>
    <n v="39000"/>
    <n v="4680"/>
    <n v="292.5"/>
    <n v="34027.5"/>
  </r>
  <r>
    <n v="750"/>
    <x v="749"/>
    <x v="5"/>
    <n v="30000"/>
    <n v="30"/>
    <x v="1"/>
    <n v="0"/>
    <n v="1000"/>
    <n v="30000"/>
    <n v="3600"/>
    <n v="225"/>
    <n v="26175"/>
  </r>
  <r>
    <n v="751"/>
    <x v="750"/>
    <x v="0"/>
    <n v="48000"/>
    <n v="30"/>
    <x v="8"/>
    <n v="8"/>
    <n v="2181.818181818182"/>
    <n v="48000"/>
    <n v="5760"/>
    <n v="360"/>
    <n v="41880"/>
  </r>
  <r>
    <n v="752"/>
    <x v="751"/>
    <x v="1"/>
    <n v="58000"/>
    <n v="30"/>
    <x v="8"/>
    <n v="8"/>
    <n v="2636.3636363636365"/>
    <n v="58000"/>
    <n v="6960"/>
    <n v="435"/>
    <n v="50605"/>
  </r>
  <r>
    <n v="753"/>
    <x v="752"/>
    <x v="2"/>
    <n v="52000"/>
    <n v="30"/>
    <x v="3"/>
    <n v="9"/>
    <n v="2476.190476190476"/>
    <n v="52000"/>
    <n v="6240"/>
    <n v="390"/>
    <n v="45370"/>
  </r>
  <r>
    <n v="754"/>
    <x v="753"/>
    <x v="3"/>
    <n v="46000"/>
    <n v="30"/>
    <x v="6"/>
    <n v="1"/>
    <n v="1586.2068965517242"/>
    <n v="46000"/>
    <n v="5520"/>
    <n v="345"/>
    <n v="40135"/>
  </r>
  <r>
    <n v="755"/>
    <x v="754"/>
    <x v="4"/>
    <n v="39000"/>
    <n v="30"/>
    <x v="5"/>
    <n v="3"/>
    <n v="1444.4444444444443"/>
    <n v="39000"/>
    <n v="4680"/>
    <n v="292.5"/>
    <n v="34027.5"/>
  </r>
  <r>
    <n v="756"/>
    <x v="755"/>
    <x v="5"/>
    <n v="53000"/>
    <n v="30"/>
    <x v="7"/>
    <n v="4"/>
    <n v="2038.4615384615386"/>
    <n v="53000"/>
    <n v="6360"/>
    <n v="397.5"/>
    <n v="46242.5"/>
  </r>
  <r>
    <n v="757"/>
    <x v="756"/>
    <x v="0"/>
    <n v="38000"/>
    <n v="30"/>
    <x v="10"/>
    <n v="5"/>
    <n v="1520"/>
    <n v="38000"/>
    <n v="4560"/>
    <n v="285"/>
    <n v="33155"/>
  </r>
  <r>
    <n v="758"/>
    <x v="757"/>
    <x v="1"/>
    <n v="57000"/>
    <n v="30"/>
    <x v="9"/>
    <n v="2"/>
    <n v="2035.7142857142858"/>
    <n v="57000"/>
    <n v="6840"/>
    <n v="427.5"/>
    <n v="49732.5"/>
  </r>
  <r>
    <n v="759"/>
    <x v="758"/>
    <x v="2"/>
    <n v="43000"/>
    <n v="30"/>
    <x v="0"/>
    <n v="10"/>
    <n v="2150"/>
    <n v="43000"/>
    <n v="5160"/>
    <n v="322.5"/>
    <n v="37517.5"/>
  </r>
  <r>
    <n v="760"/>
    <x v="759"/>
    <x v="3"/>
    <n v="27000"/>
    <n v="30"/>
    <x v="2"/>
    <n v="6"/>
    <n v="1125"/>
    <n v="27000"/>
    <n v="3240"/>
    <n v="202.5"/>
    <n v="23557.5"/>
  </r>
  <r>
    <n v="761"/>
    <x v="760"/>
    <x v="4"/>
    <n v="56000"/>
    <n v="30"/>
    <x v="3"/>
    <n v="9"/>
    <n v="2666.6666666666665"/>
    <n v="56000"/>
    <n v="6720"/>
    <n v="420"/>
    <n v="48860"/>
  </r>
  <r>
    <n v="762"/>
    <x v="761"/>
    <x v="5"/>
    <n v="33000"/>
    <n v="30"/>
    <x v="8"/>
    <n v="8"/>
    <n v="1500"/>
    <n v="33000"/>
    <n v="3960"/>
    <n v="247.5"/>
    <n v="28792.5"/>
  </r>
  <r>
    <n v="763"/>
    <x v="762"/>
    <x v="0"/>
    <n v="59000"/>
    <n v="30"/>
    <x v="5"/>
    <n v="3"/>
    <n v="2185.185185185185"/>
    <n v="59000"/>
    <n v="7080"/>
    <n v="442.5"/>
    <n v="51477.5"/>
  </r>
  <r>
    <n v="764"/>
    <x v="763"/>
    <x v="1"/>
    <n v="52000"/>
    <n v="30"/>
    <x v="6"/>
    <n v="1"/>
    <n v="1793.103448275862"/>
    <n v="52000"/>
    <n v="6240"/>
    <n v="390"/>
    <n v="45370"/>
  </r>
  <r>
    <n v="765"/>
    <x v="764"/>
    <x v="2"/>
    <n v="59000"/>
    <n v="30"/>
    <x v="10"/>
    <n v="5"/>
    <n v="2360"/>
    <n v="59000"/>
    <n v="7080"/>
    <n v="442.5"/>
    <n v="51477.5"/>
  </r>
  <r>
    <n v="766"/>
    <x v="765"/>
    <x v="3"/>
    <n v="19000"/>
    <n v="30"/>
    <x v="3"/>
    <n v="9"/>
    <n v="904.7619047619048"/>
    <n v="19000"/>
    <n v="2280"/>
    <n v="142.5"/>
    <n v="16577.5"/>
  </r>
  <r>
    <n v="767"/>
    <x v="766"/>
    <x v="4"/>
    <n v="18000"/>
    <n v="30"/>
    <x v="10"/>
    <n v="5"/>
    <n v="720"/>
    <n v="18000"/>
    <n v="2160"/>
    <n v="135"/>
    <n v="15705"/>
  </r>
  <r>
    <n v="768"/>
    <x v="767"/>
    <x v="5"/>
    <n v="36000"/>
    <n v="30"/>
    <x v="4"/>
    <n v="7"/>
    <n v="1565.2173913043478"/>
    <n v="36000"/>
    <n v="4320"/>
    <n v="270"/>
    <n v="31410"/>
  </r>
  <r>
    <n v="769"/>
    <x v="768"/>
    <x v="0"/>
    <n v="21000"/>
    <n v="30"/>
    <x v="3"/>
    <n v="9"/>
    <n v="1000"/>
    <n v="21000"/>
    <n v="2520"/>
    <n v="157.5"/>
    <n v="18322.5"/>
  </r>
  <r>
    <n v="770"/>
    <x v="769"/>
    <x v="1"/>
    <n v="54000"/>
    <n v="30"/>
    <x v="10"/>
    <n v="5"/>
    <n v="2160"/>
    <n v="54000"/>
    <n v="6480"/>
    <n v="405"/>
    <n v="47115"/>
  </r>
  <r>
    <n v="771"/>
    <x v="770"/>
    <x v="2"/>
    <n v="17000"/>
    <n v="30"/>
    <x v="5"/>
    <n v="3"/>
    <n v="629.6296296296297"/>
    <n v="17000"/>
    <n v="2040"/>
    <n v="127.5"/>
    <n v="14832.5"/>
  </r>
  <r>
    <n v="772"/>
    <x v="771"/>
    <x v="3"/>
    <n v="39000"/>
    <n v="30"/>
    <x v="1"/>
    <n v="0"/>
    <n v="1300"/>
    <n v="39000"/>
    <n v="4680"/>
    <n v="292.5"/>
    <n v="34027.5"/>
  </r>
  <r>
    <n v="773"/>
    <x v="772"/>
    <x v="4"/>
    <n v="51000"/>
    <n v="30"/>
    <x v="7"/>
    <n v="4"/>
    <n v="1961.5384615384614"/>
    <n v="51000"/>
    <n v="6120"/>
    <n v="382.5"/>
    <n v="44497.5"/>
  </r>
  <r>
    <n v="774"/>
    <x v="773"/>
    <x v="5"/>
    <n v="21000"/>
    <n v="30"/>
    <x v="9"/>
    <n v="2"/>
    <n v="750"/>
    <n v="21000"/>
    <n v="2520"/>
    <n v="157.5"/>
    <n v="18322.5"/>
  </r>
  <r>
    <n v="775"/>
    <x v="774"/>
    <x v="0"/>
    <n v="15000"/>
    <n v="30"/>
    <x v="8"/>
    <n v="8"/>
    <n v="681.8181818181819"/>
    <n v="15000.000000000002"/>
    <n v="1800.0000000000002"/>
    <n v="112.50000000000001"/>
    <n v="13087.500000000002"/>
  </r>
  <r>
    <n v="776"/>
    <x v="775"/>
    <x v="1"/>
    <n v="35000"/>
    <n v="30"/>
    <x v="8"/>
    <n v="8"/>
    <n v="1590.909090909091"/>
    <n v="35000"/>
    <n v="4200"/>
    <n v="262.5"/>
    <n v="30537.5"/>
  </r>
  <r>
    <n v="777"/>
    <x v="776"/>
    <x v="2"/>
    <n v="51000"/>
    <n v="30"/>
    <x v="3"/>
    <n v="9"/>
    <n v="2428.5714285714284"/>
    <n v="51000"/>
    <n v="6120"/>
    <n v="382.5"/>
    <n v="44497.5"/>
  </r>
  <r>
    <n v="778"/>
    <x v="777"/>
    <x v="3"/>
    <n v="33000"/>
    <n v="30"/>
    <x v="7"/>
    <n v="4"/>
    <n v="1269.2307692307693"/>
    <n v="33000"/>
    <n v="3960"/>
    <n v="247.5"/>
    <n v="28792.5"/>
  </r>
  <r>
    <n v="779"/>
    <x v="778"/>
    <x v="4"/>
    <n v="56000"/>
    <n v="30"/>
    <x v="10"/>
    <n v="5"/>
    <n v="2240"/>
    <n v="56000"/>
    <n v="6720"/>
    <n v="420"/>
    <n v="48860"/>
  </r>
  <r>
    <n v="780"/>
    <x v="779"/>
    <x v="5"/>
    <n v="25000"/>
    <n v="30"/>
    <x v="8"/>
    <n v="8"/>
    <n v="1136.3636363636363"/>
    <n v="24999.999999999996"/>
    <n v="2999.9999999999995"/>
    <n v="187.49999999999997"/>
    <n v="21812.499999999996"/>
  </r>
  <r>
    <n v="781"/>
    <x v="780"/>
    <x v="0"/>
    <n v="34000"/>
    <n v="30"/>
    <x v="7"/>
    <n v="4"/>
    <n v="1307.6923076923076"/>
    <n v="34000"/>
    <n v="4080"/>
    <n v="255"/>
    <n v="29665"/>
  </r>
  <r>
    <n v="782"/>
    <x v="781"/>
    <x v="1"/>
    <n v="24000"/>
    <n v="30"/>
    <x v="8"/>
    <n v="8"/>
    <n v="1090.909090909091"/>
    <n v="24000"/>
    <n v="2880"/>
    <n v="180"/>
    <n v="20940"/>
  </r>
  <r>
    <n v="783"/>
    <x v="782"/>
    <x v="2"/>
    <n v="59000"/>
    <n v="30"/>
    <x v="7"/>
    <n v="4"/>
    <n v="2269.230769230769"/>
    <n v="58999.99999999999"/>
    <n v="7079.999999999999"/>
    <n v="442.49999999999994"/>
    <n v="51477.49999999999"/>
  </r>
  <r>
    <n v="784"/>
    <x v="783"/>
    <x v="3"/>
    <n v="35000"/>
    <n v="30"/>
    <x v="1"/>
    <n v="0"/>
    <n v="1166.6666666666667"/>
    <n v="35000"/>
    <n v="4200"/>
    <n v="262.5"/>
    <n v="30537.5"/>
  </r>
  <r>
    <n v="785"/>
    <x v="784"/>
    <x v="4"/>
    <n v="36000"/>
    <n v="30"/>
    <x v="0"/>
    <n v="10"/>
    <n v="1800"/>
    <n v="36000"/>
    <n v="4320"/>
    <n v="270"/>
    <n v="31410"/>
  </r>
  <r>
    <n v="786"/>
    <x v="785"/>
    <x v="5"/>
    <n v="44000"/>
    <n v="30"/>
    <x v="9"/>
    <n v="2"/>
    <n v="1571.4285714285713"/>
    <n v="44000"/>
    <n v="5280"/>
    <n v="330"/>
    <n v="38390"/>
  </r>
  <r>
    <n v="787"/>
    <x v="786"/>
    <x v="0"/>
    <n v="16000"/>
    <n v="30"/>
    <x v="1"/>
    <n v="0"/>
    <n v="533.3333333333334"/>
    <n v="16000.000000000002"/>
    <n v="1920.0000000000002"/>
    <n v="120.00000000000001"/>
    <n v="13960.000000000002"/>
  </r>
  <r>
    <n v="788"/>
    <x v="787"/>
    <x v="1"/>
    <n v="49000"/>
    <n v="30"/>
    <x v="10"/>
    <n v="5"/>
    <n v="1960"/>
    <n v="49000"/>
    <n v="5880"/>
    <n v="367.5"/>
    <n v="42752.5"/>
  </r>
  <r>
    <n v="789"/>
    <x v="788"/>
    <x v="2"/>
    <n v="40000"/>
    <n v="30"/>
    <x v="1"/>
    <n v="0"/>
    <n v="1333.3333333333333"/>
    <n v="40000"/>
    <n v="4800"/>
    <n v="300"/>
    <n v="34900"/>
  </r>
  <r>
    <n v="790"/>
    <x v="789"/>
    <x v="3"/>
    <n v="34000"/>
    <n v="30"/>
    <x v="8"/>
    <n v="8"/>
    <n v="1545.4545454545455"/>
    <n v="34000"/>
    <n v="4080"/>
    <n v="255"/>
    <n v="29665"/>
  </r>
  <r>
    <n v="791"/>
    <x v="790"/>
    <x v="4"/>
    <n v="43000"/>
    <n v="30"/>
    <x v="10"/>
    <n v="5"/>
    <n v="1720"/>
    <n v="43000"/>
    <n v="5160"/>
    <n v="322.5"/>
    <n v="37517.5"/>
  </r>
  <r>
    <n v="792"/>
    <x v="791"/>
    <x v="5"/>
    <n v="38000"/>
    <n v="30"/>
    <x v="7"/>
    <n v="4"/>
    <n v="1461.5384615384614"/>
    <n v="38000"/>
    <n v="4560"/>
    <n v="285"/>
    <n v="33155"/>
  </r>
  <r>
    <n v="793"/>
    <x v="792"/>
    <x v="0"/>
    <n v="44000"/>
    <n v="30"/>
    <x v="5"/>
    <n v="3"/>
    <n v="1629.6296296296296"/>
    <n v="44000"/>
    <n v="5280"/>
    <n v="330"/>
    <n v="38390"/>
  </r>
  <r>
    <n v="794"/>
    <x v="793"/>
    <x v="1"/>
    <n v="44000"/>
    <n v="30"/>
    <x v="3"/>
    <n v="9"/>
    <n v="2095.2380952380954"/>
    <n v="44000"/>
    <n v="5280"/>
    <n v="330"/>
    <n v="38390"/>
  </r>
  <r>
    <n v="795"/>
    <x v="794"/>
    <x v="2"/>
    <n v="15000"/>
    <n v="30"/>
    <x v="0"/>
    <n v="10"/>
    <n v="750"/>
    <n v="15000"/>
    <n v="1800"/>
    <n v="112.5"/>
    <n v="13087.5"/>
  </r>
  <r>
    <n v="796"/>
    <x v="795"/>
    <x v="3"/>
    <n v="28000"/>
    <n v="30"/>
    <x v="9"/>
    <n v="2"/>
    <n v="1000"/>
    <n v="28000"/>
    <n v="3360"/>
    <n v="210"/>
    <n v="24430"/>
  </r>
  <r>
    <n v="797"/>
    <x v="796"/>
    <x v="4"/>
    <n v="26000"/>
    <n v="30"/>
    <x v="4"/>
    <n v="7"/>
    <n v="1130.4347826086957"/>
    <n v="26000.000000000004"/>
    <n v="3120.0000000000005"/>
    <n v="195.00000000000003"/>
    <n v="22685.000000000004"/>
  </r>
  <r>
    <n v="798"/>
    <x v="797"/>
    <x v="5"/>
    <n v="33000"/>
    <n v="30"/>
    <x v="8"/>
    <n v="8"/>
    <n v="1500"/>
    <n v="33000"/>
    <n v="3960"/>
    <n v="247.5"/>
    <n v="28792.5"/>
  </r>
  <r>
    <n v="799"/>
    <x v="798"/>
    <x v="0"/>
    <n v="24000"/>
    <n v="30"/>
    <x v="3"/>
    <n v="9"/>
    <n v="1142.857142857143"/>
    <n v="24000"/>
    <n v="2880"/>
    <n v="180"/>
    <n v="20940"/>
  </r>
  <r>
    <n v="800"/>
    <x v="799"/>
    <x v="1"/>
    <n v="31000"/>
    <n v="30"/>
    <x v="8"/>
    <n v="8"/>
    <n v="1409.090909090909"/>
    <n v="31000"/>
    <n v="3720"/>
    <n v="232.5"/>
    <n v="27047.5"/>
  </r>
  <r>
    <n v="801"/>
    <x v="800"/>
    <x v="2"/>
    <n v="16000"/>
    <n v="30"/>
    <x v="4"/>
    <n v="7"/>
    <n v="695.6521739130435"/>
    <n v="16000"/>
    <n v="1920"/>
    <n v="120"/>
    <n v="13960"/>
  </r>
  <r>
    <n v="802"/>
    <x v="801"/>
    <x v="3"/>
    <n v="57000"/>
    <n v="30"/>
    <x v="4"/>
    <n v="7"/>
    <n v="2478.2608695652175"/>
    <n v="57000"/>
    <n v="6840"/>
    <n v="427.5"/>
    <n v="49732.5"/>
  </r>
  <r>
    <n v="803"/>
    <x v="802"/>
    <x v="4"/>
    <n v="20000"/>
    <n v="30"/>
    <x v="1"/>
    <n v="0"/>
    <n v="666.6666666666666"/>
    <n v="20000"/>
    <n v="2400"/>
    <n v="150"/>
    <n v="17450"/>
  </r>
  <r>
    <n v="804"/>
    <x v="803"/>
    <x v="5"/>
    <n v="42000"/>
    <n v="30"/>
    <x v="8"/>
    <n v="8"/>
    <n v="1909.090909090909"/>
    <n v="42000"/>
    <n v="5040"/>
    <n v="315"/>
    <n v="36645"/>
  </r>
  <r>
    <n v="805"/>
    <x v="804"/>
    <x v="0"/>
    <n v="42000"/>
    <n v="30"/>
    <x v="0"/>
    <n v="10"/>
    <n v="2100"/>
    <n v="42000"/>
    <n v="5040"/>
    <n v="315"/>
    <n v="36645"/>
  </r>
  <r>
    <n v="806"/>
    <x v="805"/>
    <x v="1"/>
    <n v="54000"/>
    <n v="30"/>
    <x v="8"/>
    <n v="8"/>
    <n v="2454.5454545454545"/>
    <n v="54000"/>
    <n v="6480"/>
    <n v="405"/>
    <n v="47115"/>
  </r>
  <r>
    <n v="807"/>
    <x v="806"/>
    <x v="2"/>
    <n v="16000"/>
    <n v="30"/>
    <x v="2"/>
    <n v="6"/>
    <n v="666.6666666666666"/>
    <n v="16000"/>
    <n v="1920"/>
    <n v="120"/>
    <n v="13960"/>
  </r>
  <r>
    <n v="808"/>
    <x v="807"/>
    <x v="3"/>
    <n v="45000"/>
    <n v="30"/>
    <x v="5"/>
    <n v="3"/>
    <n v="1666.6666666666667"/>
    <n v="45000"/>
    <n v="5400"/>
    <n v="337.5"/>
    <n v="39262.5"/>
  </r>
  <r>
    <n v="809"/>
    <x v="808"/>
    <x v="4"/>
    <n v="25000"/>
    <n v="30"/>
    <x v="0"/>
    <n v="10"/>
    <n v="1250"/>
    <n v="25000"/>
    <n v="3000"/>
    <n v="187.5"/>
    <n v="21812.5"/>
  </r>
  <r>
    <n v="810"/>
    <x v="809"/>
    <x v="5"/>
    <n v="16000"/>
    <n v="30"/>
    <x v="5"/>
    <n v="3"/>
    <n v="592.5925925925926"/>
    <n v="16000"/>
    <n v="1920"/>
    <n v="120"/>
    <n v="13960"/>
  </r>
  <r>
    <n v="811"/>
    <x v="810"/>
    <x v="0"/>
    <n v="39000"/>
    <n v="30"/>
    <x v="1"/>
    <n v="0"/>
    <n v="1300"/>
    <n v="39000"/>
    <n v="4680"/>
    <n v="292.5"/>
    <n v="34027.5"/>
  </r>
  <r>
    <n v="812"/>
    <x v="811"/>
    <x v="1"/>
    <n v="54000"/>
    <n v="30"/>
    <x v="0"/>
    <n v="10"/>
    <n v="2700"/>
    <n v="54000"/>
    <n v="6480"/>
    <n v="405"/>
    <n v="47115"/>
  </r>
  <r>
    <n v="813"/>
    <x v="812"/>
    <x v="2"/>
    <n v="46000"/>
    <n v="30"/>
    <x v="0"/>
    <n v="10"/>
    <n v="2300"/>
    <n v="46000"/>
    <n v="5520"/>
    <n v="345"/>
    <n v="40135"/>
  </r>
  <r>
    <n v="814"/>
    <x v="813"/>
    <x v="3"/>
    <n v="50000"/>
    <n v="30"/>
    <x v="4"/>
    <n v="7"/>
    <n v="2173.913043478261"/>
    <n v="50000"/>
    <n v="6000"/>
    <n v="375"/>
    <n v="43625"/>
  </r>
  <r>
    <n v="815"/>
    <x v="814"/>
    <x v="4"/>
    <n v="54000"/>
    <n v="30"/>
    <x v="10"/>
    <n v="5"/>
    <n v="2160"/>
    <n v="54000"/>
    <n v="6480"/>
    <n v="405"/>
    <n v="47115"/>
  </r>
  <r>
    <n v="816"/>
    <x v="815"/>
    <x v="5"/>
    <n v="43000"/>
    <n v="30"/>
    <x v="5"/>
    <n v="3"/>
    <n v="1592.5925925925926"/>
    <n v="43000"/>
    <n v="5160"/>
    <n v="322.5"/>
    <n v="37517.5"/>
  </r>
  <r>
    <n v="817"/>
    <x v="816"/>
    <x v="0"/>
    <n v="18000"/>
    <n v="30"/>
    <x v="5"/>
    <n v="3"/>
    <n v="666.6666666666666"/>
    <n v="18000"/>
    <n v="2160"/>
    <n v="135"/>
    <n v="15705"/>
  </r>
  <r>
    <n v="818"/>
    <x v="817"/>
    <x v="1"/>
    <n v="18000"/>
    <n v="30"/>
    <x v="4"/>
    <n v="7"/>
    <n v="782.6086956521739"/>
    <n v="18000"/>
    <n v="2160"/>
    <n v="135"/>
    <n v="15705"/>
  </r>
  <r>
    <n v="819"/>
    <x v="818"/>
    <x v="2"/>
    <n v="57000"/>
    <n v="30"/>
    <x v="8"/>
    <n v="8"/>
    <n v="2590.909090909091"/>
    <n v="57000"/>
    <n v="6840"/>
    <n v="427.5"/>
    <n v="49732.5"/>
  </r>
  <r>
    <n v="820"/>
    <x v="819"/>
    <x v="3"/>
    <n v="37000"/>
    <n v="30"/>
    <x v="3"/>
    <n v="9"/>
    <n v="1761.904761904762"/>
    <n v="37000"/>
    <n v="4440"/>
    <n v="277.5"/>
    <n v="32282.5"/>
  </r>
  <r>
    <n v="821"/>
    <x v="820"/>
    <x v="4"/>
    <n v="22000"/>
    <n v="30"/>
    <x v="6"/>
    <n v="1"/>
    <n v="758.6206896551724"/>
    <n v="22000"/>
    <n v="2640"/>
    <n v="165"/>
    <n v="19195"/>
  </r>
  <r>
    <n v="822"/>
    <x v="821"/>
    <x v="5"/>
    <n v="45000"/>
    <n v="30"/>
    <x v="3"/>
    <n v="9"/>
    <n v="2142.8571428571427"/>
    <n v="44999.99999999999"/>
    <n v="5399.999999999999"/>
    <n v="337.49999999999994"/>
    <n v="39262.49999999999"/>
  </r>
  <r>
    <n v="823"/>
    <x v="822"/>
    <x v="0"/>
    <n v="54000"/>
    <n v="30"/>
    <x v="4"/>
    <n v="7"/>
    <n v="2347.8260869565215"/>
    <n v="53999.99999999999"/>
    <n v="6479.999999999999"/>
    <n v="404.99999999999994"/>
    <n v="47114.99999999999"/>
  </r>
  <r>
    <n v="824"/>
    <x v="823"/>
    <x v="1"/>
    <n v="25000"/>
    <n v="30"/>
    <x v="8"/>
    <n v="8"/>
    <n v="1136.3636363636363"/>
    <n v="24999.999999999996"/>
    <n v="2999.9999999999995"/>
    <n v="187.49999999999997"/>
    <n v="21812.499999999996"/>
  </r>
  <r>
    <n v="825"/>
    <x v="824"/>
    <x v="2"/>
    <n v="31000"/>
    <n v="30"/>
    <x v="3"/>
    <n v="9"/>
    <n v="1476.1904761904761"/>
    <n v="31000"/>
    <n v="3720"/>
    <n v="232.5"/>
    <n v="27047.5"/>
  </r>
  <r>
    <n v="826"/>
    <x v="825"/>
    <x v="3"/>
    <n v="45000"/>
    <n v="30"/>
    <x v="8"/>
    <n v="8"/>
    <n v="2045.4545454545455"/>
    <n v="45000"/>
    <n v="5400"/>
    <n v="337.5"/>
    <n v="39262.5"/>
  </r>
  <r>
    <n v="827"/>
    <x v="826"/>
    <x v="4"/>
    <n v="57000"/>
    <n v="30"/>
    <x v="9"/>
    <n v="2"/>
    <n v="2035.7142857142858"/>
    <n v="57000"/>
    <n v="6840"/>
    <n v="427.5"/>
    <n v="49732.5"/>
  </r>
  <r>
    <n v="828"/>
    <x v="827"/>
    <x v="5"/>
    <n v="25000"/>
    <n v="30"/>
    <x v="2"/>
    <n v="6"/>
    <n v="1041.6666666666667"/>
    <n v="25000"/>
    <n v="3000"/>
    <n v="187.5"/>
    <n v="21812.5"/>
  </r>
  <r>
    <n v="829"/>
    <x v="828"/>
    <x v="0"/>
    <n v="35000"/>
    <n v="30"/>
    <x v="5"/>
    <n v="3"/>
    <n v="1296.2962962962963"/>
    <n v="35000"/>
    <n v="4200"/>
    <n v="262.5"/>
    <n v="30537.5"/>
  </r>
  <r>
    <n v="830"/>
    <x v="829"/>
    <x v="1"/>
    <n v="30000"/>
    <n v="30"/>
    <x v="8"/>
    <n v="8"/>
    <n v="1363.6363636363637"/>
    <n v="30000.000000000004"/>
    <n v="3600.0000000000005"/>
    <n v="225.00000000000003"/>
    <n v="26175.000000000004"/>
  </r>
  <r>
    <n v="831"/>
    <x v="830"/>
    <x v="2"/>
    <n v="56000"/>
    <n v="30"/>
    <x v="0"/>
    <n v="10"/>
    <n v="2800"/>
    <n v="56000"/>
    <n v="6720"/>
    <n v="420"/>
    <n v="48860"/>
  </r>
  <r>
    <n v="832"/>
    <x v="831"/>
    <x v="3"/>
    <n v="31000"/>
    <n v="30"/>
    <x v="6"/>
    <n v="1"/>
    <n v="1068.9655172413793"/>
    <n v="31000"/>
    <n v="3720"/>
    <n v="232.5"/>
    <n v="27047.5"/>
  </r>
  <r>
    <n v="833"/>
    <x v="832"/>
    <x v="4"/>
    <n v="22000"/>
    <n v="30"/>
    <x v="7"/>
    <n v="4"/>
    <n v="846.1538461538462"/>
    <n v="22000"/>
    <n v="2640"/>
    <n v="165"/>
    <n v="19195"/>
  </r>
  <r>
    <n v="834"/>
    <x v="833"/>
    <x v="5"/>
    <n v="23000"/>
    <n v="30"/>
    <x v="1"/>
    <n v="0"/>
    <n v="766.6666666666666"/>
    <n v="23000"/>
    <n v="2760"/>
    <n v="172.5"/>
    <n v="20067.5"/>
  </r>
  <r>
    <n v="835"/>
    <x v="834"/>
    <x v="0"/>
    <n v="60000"/>
    <n v="30"/>
    <x v="9"/>
    <n v="2"/>
    <n v="2142.8571428571427"/>
    <n v="59999.99999999999"/>
    <n v="7199.999999999999"/>
    <n v="449.99999999999994"/>
    <n v="52349.99999999999"/>
  </r>
  <r>
    <n v="836"/>
    <x v="835"/>
    <x v="1"/>
    <n v="59000"/>
    <n v="30"/>
    <x v="10"/>
    <n v="5"/>
    <n v="2360"/>
    <n v="59000"/>
    <n v="7080"/>
    <n v="442.5"/>
    <n v="51477.5"/>
  </r>
  <r>
    <n v="837"/>
    <x v="836"/>
    <x v="2"/>
    <n v="37000"/>
    <n v="30"/>
    <x v="2"/>
    <n v="6"/>
    <n v="1541.6666666666667"/>
    <n v="37000"/>
    <n v="4440"/>
    <n v="277.5"/>
    <n v="32282.5"/>
  </r>
  <r>
    <n v="838"/>
    <x v="837"/>
    <x v="3"/>
    <n v="22000"/>
    <n v="30"/>
    <x v="9"/>
    <n v="2"/>
    <n v="785.7142857142857"/>
    <n v="22000"/>
    <n v="2640"/>
    <n v="165"/>
    <n v="19195"/>
  </r>
  <r>
    <n v="839"/>
    <x v="838"/>
    <x v="4"/>
    <n v="39000"/>
    <n v="30"/>
    <x v="10"/>
    <n v="5"/>
    <n v="1560"/>
    <n v="39000"/>
    <n v="4680"/>
    <n v="292.5"/>
    <n v="34027.5"/>
  </r>
  <r>
    <n v="840"/>
    <x v="839"/>
    <x v="5"/>
    <n v="16000"/>
    <n v="30"/>
    <x v="2"/>
    <n v="6"/>
    <n v="666.6666666666666"/>
    <n v="16000"/>
    <n v="1920"/>
    <n v="120"/>
    <n v="13960"/>
  </r>
  <r>
    <n v="841"/>
    <x v="840"/>
    <x v="0"/>
    <n v="15000"/>
    <n v="30"/>
    <x v="9"/>
    <n v="2"/>
    <n v="535.7142857142857"/>
    <n v="14999.999999999998"/>
    <n v="1799.9999999999998"/>
    <n v="112.49999999999999"/>
    <n v="13087.499999999998"/>
  </r>
  <r>
    <n v="842"/>
    <x v="841"/>
    <x v="1"/>
    <n v="38000"/>
    <n v="30"/>
    <x v="2"/>
    <n v="6"/>
    <n v="1583.3333333333333"/>
    <n v="38000"/>
    <n v="4560"/>
    <n v="285"/>
    <n v="33155"/>
  </r>
  <r>
    <n v="843"/>
    <x v="842"/>
    <x v="2"/>
    <n v="35000"/>
    <n v="30"/>
    <x v="3"/>
    <n v="9"/>
    <n v="1666.6666666666667"/>
    <n v="35000"/>
    <n v="4200"/>
    <n v="262.5"/>
    <n v="30537.5"/>
  </r>
  <r>
    <n v="844"/>
    <x v="843"/>
    <x v="3"/>
    <n v="32000"/>
    <n v="30"/>
    <x v="8"/>
    <n v="8"/>
    <n v="1454.5454545454545"/>
    <n v="32000"/>
    <n v="3840"/>
    <n v="240"/>
    <n v="27920"/>
  </r>
  <r>
    <n v="845"/>
    <x v="844"/>
    <x v="4"/>
    <n v="43000"/>
    <n v="30"/>
    <x v="9"/>
    <n v="2"/>
    <n v="1535.7142857142858"/>
    <n v="43000"/>
    <n v="5160"/>
    <n v="322.5"/>
    <n v="37517.5"/>
  </r>
  <r>
    <n v="846"/>
    <x v="845"/>
    <x v="5"/>
    <n v="31000"/>
    <n v="30"/>
    <x v="3"/>
    <n v="9"/>
    <n v="1476.1904761904761"/>
    <n v="31000"/>
    <n v="3720"/>
    <n v="232.5"/>
    <n v="27047.5"/>
  </r>
  <r>
    <n v="847"/>
    <x v="846"/>
    <x v="0"/>
    <n v="19000"/>
    <n v="30"/>
    <x v="4"/>
    <n v="7"/>
    <n v="826.0869565217391"/>
    <n v="19000"/>
    <n v="2280"/>
    <n v="142.5"/>
    <n v="16577.5"/>
  </r>
  <r>
    <n v="848"/>
    <x v="847"/>
    <x v="1"/>
    <n v="31000"/>
    <n v="30"/>
    <x v="1"/>
    <n v="0"/>
    <n v="1033.3333333333333"/>
    <n v="30999.999999999996"/>
    <n v="3719.9999999999995"/>
    <n v="232.49999999999997"/>
    <n v="27047.499999999996"/>
  </r>
  <r>
    <n v="849"/>
    <x v="848"/>
    <x v="2"/>
    <n v="35000"/>
    <n v="30"/>
    <x v="3"/>
    <n v="9"/>
    <n v="1666.6666666666667"/>
    <n v="35000"/>
    <n v="4200"/>
    <n v="262.5"/>
    <n v="30537.5"/>
  </r>
  <r>
    <n v="850"/>
    <x v="849"/>
    <x v="3"/>
    <n v="40000"/>
    <n v="30"/>
    <x v="9"/>
    <n v="2"/>
    <n v="1428.5714285714287"/>
    <n v="40000"/>
    <n v="4800"/>
    <n v="300"/>
    <n v="34900"/>
  </r>
  <r>
    <n v="851"/>
    <x v="850"/>
    <x v="4"/>
    <n v="58000"/>
    <n v="30"/>
    <x v="10"/>
    <n v="5"/>
    <n v="2320"/>
    <n v="58000"/>
    <n v="6960"/>
    <n v="435"/>
    <n v="50605"/>
  </r>
  <r>
    <n v="852"/>
    <x v="851"/>
    <x v="5"/>
    <n v="24000"/>
    <n v="30"/>
    <x v="3"/>
    <n v="9"/>
    <n v="1142.857142857143"/>
    <n v="24000"/>
    <n v="2880"/>
    <n v="180"/>
    <n v="20940"/>
  </r>
  <r>
    <n v="853"/>
    <x v="852"/>
    <x v="0"/>
    <n v="20000"/>
    <n v="30"/>
    <x v="6"/>
    <n v="1"/>
    <n v="689.6551724137931"/>
    <n v="20000"/>
    <n v="2400"/>
    <n v="150"/>
    <n v="17450"/>
  </r>
  <r>
    <n v="854"/>
    <x v="853"/>
    <x v="1"/>
    <n v="20000"/>
    <n v="30"/>
    <x v="7"/>
    <n v="4"/>
    <n v="769.2307692307693"/>
    <n v="20000"/>
    <n v="2400"/>
    <n v="150"/>
    <n v="17450"/>
  </r>
  <r>
    <n v="855"/>
    <x v="854"/>
    <x v="2"/>
    <n v="40000"/>
    <n v="30"/>
    <x v="3"/>
    <n v="9"/>
    <n v="1904.7619047619048"/>
    <n v="40000"/>
    <n v="4800"/>
    <n v="300"/>
    <n v="34900"/>
  </r>
  <r>
    <n v="856"/>
    <x v="855"/>
    <x v="3"/>
    <n v="30000"/>
    <n v="30"/>
    <x v="7"/>
    <n v="4"/>
    <n v="1153.8461538461538"/>
    <n v="30000"/>
    <n v="3600"/>
    <n v="225"/>
    <n v="26175"/>
  </r>
  <r>
    <n v="857"/>
    <x v="856"/>
    <x v="4"/>
    <n v="54000"/>
    <n v="30"/>
    <x v="9"/>
    <n v="2"/>
    <n v="1928.5714285714287"/>
    <n v="54000"/>
    <n v="6480"/>
    <n v="405"/>
    <n v="47115"/>
  </r>
  <r>
    <n v="858"/>
    <x v="857"/>
    <x v="5"/>
    <n v="16000"/>
    <n v="30"/>
    <x v="4"/>
    <n v="7"/>
    <n v="695.6521739130435"/>
    <n v="16000"/>
    <n v="1920"/>
    <n v="120"/>
    <n v="13960"/>
  </r>
  <r>
    <n v="859"/>
    <x v="858"/>
    <x v="0"/>
    <n v="53000"/>
    <n v="30"/>
    <x v="10"/>
    <n v="5"/>
    <n v="2120"/>
    <n v="53000"/>
    <n v="6360"/>
    <n v="397.5"/>
    <n v="46242.5"/>
  </r>
  <r>
    <n v="860"/>
    <x v="859"/>
    <x v="1"/>
    <n v="29000"/>
    <n v="30"/>
    <x v="4"/>
    <n v="7"/>
    <n v="1260.8695652173913"/>
    <n v="29000"/>
    <n v="3480"/>
    <n v="217.5"/>
    <n v="25302.5"/>
  </r>
  <r>
    <n v="861"/>
    <x v="860"/>
    <x v="2"/>
    <n v="58000"/>
    <n v="30"/>
    <x v="2"/>
    <n v="6"/>
    <n v="2416.6666666666665"/>
    <n v="58000"/>
    <n v="6960"/>
    <n v="435"/>
    <n v="50605"/>
  </r>
  <r>
    <n v="862"/>
    <x v="861"/>
    <x v="3"/>
    <n v="36000"/>
    <n v="30"/>
    <x v="2"/>
    <n v="6"/>
    <n v="1500"/>
    <n v="36000"/>
    <n v="4320"/>
    <n v="270"/>
    <n v="31410"/>
  </r>
  <r>
    <n v="863"/>
    <x v="862"/>
    <x v="4"/>
    <n v="25000"/>
    <n v="30"/>
    <x v="1"/>
    <n v="0"/>
    <n v="833.3333333333334"/>
    <n v="25000"/>
    <n v="3000"/>
    <n v="187.5"/>
    <n v="21812.5"/>
  </r>
  <r>
    <n v="864"/>
    <x v="863"/>
    <x v="5"/>
    <n v="57000"/>
    <n v="30"/>
    <x v="9"/>
    <n v="2"/>
    <n v="2035.7142857142858"/>
    <n v="57000"/>
    <n v="6840"/>
    <n v="427.5"/>
    <n v="49732.5"/>
  </r>
  <r>
    <n v="865"/>
    <x v="864"/>
    <x v="0"/>
    <n v="27000"/>
    <n v="30"/>
    <x v="8"/>
    <n v="8"/>
    <n v="1227.2727272727273"/>
    <n v="27000"/>
    <n v="3240"/>
    <n v="202.5"/>
    <n v="23557.5"/>
  </r>
  <r>
    <n v="866"/>
    <x v="865"/>
    <x v="1"/>
    <n v="20000"/>
    <n v="30"/>
    <x v="10"/>
    <n v="5"/>
    <n v="800"/>
    <n v="20000"/>
    <n v="2400"/>
    <n v="150"/>
    <n v="17450"/>
  </r>
  <r>
    <n v="867"/>
    <x v="866"/>
    <x v="2"/>
    <n v="47000"/>
    <n v="30"/>
    <x v="1"/>
    <n v="0"/>
    <n v="1566.6666666666667"/>
    <n v="47000"/>
    <n v="5640"/>
    <n v="352.5"/>
    <n v="41007.5"/>
  </r>
  <r>
    <n v="868"/>
    <x v="867"/>
    <x v="3"/>
    <n v="49000"/>
    <n v="30"/>
    <x v="4"/>
    <n v="7"/>
    <n v="2130.4347826086955"/>
    <n v="49000"/>
    <n v="5880"/>
    <n v="367.5"/>
    <n v="42752.5"/>
  </r>
  <r>
    <n v="869"/>
    <x v="868"/>
    <x v="4"/>
    <n v="31000"/>
    <n v="30"/>
    <x v="0"/>
    <n v="10"/>
    <n v="1550"/>
    <n v="31000"/>
    <n v="3720"/>
    <n v="232.5"/>
    <n v="27047.5"/>
  </r>
  <r>
    <n v="870"/>
    <x v="869"/>
    <x v="5"/>
    <n v="52000"/>
    <n v="30"/>
    <x v="9"/>
    <n v="2"/>
    <n v="1857.142857142857"/>
    <n v="52000"/>
    <n v="6240"/>
    <n v="390"/>
    <n v="45370"/>
  </r>
  <r>
    <n v="871"/>
    <x v="870"/>
    <x v="0"/>
    <n v="45000"/>
    <n v="30"/>
    <x v="7"/>
    <n v="4"/>
    <n v="1730.7692307692307"/>
    <n v="45000"/>
    <n v="5400"/>
    <n v="337.5"/>
    <n v="39262.5"/>
  </r>
  <r>
    <n v="872"/>
    <x v="871"/>
    <x v="1"/>
    <n v="24000"/>
    <n v="30"/>
    <x v="1"/>
    <n v="0"/>
    <n v="800"/>
    <n v="24000"/>
    <n v="2880"/>
    <n v="180"/>
    <n v="20940"/>
  </r>
  <r>
    <n v="873"/>
    <x v="872"/>
    <x v="2"/>
    <n v="32000"/>
    <n v="30"/>
    <x v="5"/>
    <n v="3"/>
    <n v="1185.1851851851852"/>
    <n v="32000"/>
    <n v="3840"/>
    <n v="240"/>
    <n v="27920"/>
  </r>
  <r>
    <n v="874"/>
    <x v="873"/>
    <x v="3"/>
    <n v="25000"/>
    <n v="30"/>
    <x v="9"/>
    <n v="2"/>
    <n v="892.8571428571429"/>
    <n v="25000"/>
    <n v="3000"/>
    <n v="187.5"/>
    <n v="21812.5"/>
  </r>
  <r>
    <n v="875"/>
    <x v="874"/>
    <x v="4"/>
    <n v="48000"/>
    <n v="30"/>
    <x v="10"/>
    <n v="5"/>
    <n v="1920"/>
    <n v="48000"/>
    <n v="5760"/>
    <n v="360"/>
    <n v="41880"/>
  </r>
  <r>
    <n v="876"/>
    <x v="875"/>
    <x v="5"/>
    <n v="23000"/>
    <n v="30"/>
    <x v="8"/>
    <n v="8"/>
    <n v="1045.4545454545455"/>
    <n v="23000"/>
    <n v="2760"/>
    <n v="172.5"/>
    <n v="20067.5"/>
  </r>
  <r>
    <n v="877"/>
    <x v="876"/>
    <x v="0"/>
    <n v="57000"/>
    <n v="30"/>
    <x v="2"/>
    <n v="6"/>
    <n v="2375"/>
    <n v="57000"/>
    <n v="6840"/>
    <n v="427.5"/>
    <n v="49732.5"/>
  </r>
  <r>
    <n v="878"/>
    <x v="877"/>
    <x v="1"/>
    <n v="21000"/>
    <n v="30"/>
    <x v="0"/>
    <n v="10"/>
    <n v="1050"/>
    <n v="21000"/>
    <n v="2520"/>
    <n v="157.5"/>
    <n v="18322.5"/>
  </r>
  <r>
    <n v="879"/>
    <x v="878"/>
    <x v="2"/>
    <n v="47000"/>
    <n v="30"/>
    <x v="4"/>
    <n v="7"/>
    <n v="2043.4782608695652"/>
    <n v="47000"/>
    <n v="5640"/>
    <n v="352.5"/>
    <n v="41007.5"/>
  </r>
  <r>
    <n v="880"/>
    <x v="879"/>
    <x v="3"/>
    <n v="60000"/>
    <n v="30"/>
    <x v="0"/>
    <n v="10"/>
    <n v="3000"/>
    <n v="60000"/>
    <n v="7200"/>
    <n v="450"/>
    <n v="52350"/>
  </r>
  <r>
    <n v="881"/>
    <x v="880"/>
    <x v="4"/>
    <n v="15000"/>
    <n v="30"/>
    <x v="1"/>
    <n v="0"/>
    <n v="500"/>
    <n v="15000"/>
    <n v="1800"/>
    <n v="112.5"/>
    <n v="13087.5"/>
  </r>
  <r>
    <n v="882"/>
    <x v="881"/>
    <x v="5"/>
    <n v="17000"/>
    <n v="30"/>
    <x v="8"/>
    <n v="8"/>
    <n v="772.7272727272727"/>
    <n v="17000"/>
    <n v="2040"/>
    <n v="127.5"/>
    <n v="14832.5"/>
  </r>
  <r>
    <n v="883"/>
    <x v="882"/>
    <x v="0"/>
    <n v="53000"/>
    <n v="30"/>
    <x v="2"/>
    <n v="6"/>
    <n v="2208.3333333333335"/>
    <n v="53000"/>
    <n v="6360"/>
    <n v="397.5"/>
    <n v="46242.5"/>
  </r>
  <r>
    <n v="884"/>
    <x v="883"/>
    <x v="1"/>
    <n v="30000"/>
    <n v="30"/>
    <x v="6"/>
    <n v="1"/>
    <n v="1034.4827586206898"/>
    <n v="30000.000000000004"/>
    <n v="3600.0000000000005"/>
    <n v="225.00000000000003"/>
    <n v="26175.000000000004"/>
  </r>
  <r>
    <n v="885"/>
    <x v="884"/>
    <x v="2"/>
    <n v="44000"/>
    <n v="30"/>
    <x v="2"/>
    <n v="6"/>
    <n v="1833.3333333333333"/>
    <n v="44000"/>
    <n v="5280"/>
    <n v="330"/>
    <n v="38390"/>
  </r>
  <r>
    <n v="886"/>
    <x v="885"/>
    <x v="3"/>
    <n v="51000"/>
    <n v="30"/>
    <x v="9"/>
    <n v="2"/>
    <n v="1821.4285714285713"/>
    <n v="51000"/>
    <n v="6120"/>
    <n v="382.5"/>
    <n v="44497.5"/>
  </r>
  <r>
    <n v="887"/>
    <x v="886"/>
    <x v="4"/>
    <n v="30000"/>
    <n v="30"/>
    <x v="1"/>
    <n v="0"/>
    <n v="1000"/>
    <n v="30000"/>
    <n v="3600"/>
    <n v="225"/>
    <n v="26175"/>
  </r>
  <r>
    <n v="888"/>
    <x v="887"/>
    <x v="5"/>
    <n v="49000"/>
    <n v="30"/>
    <x v="2"/>
    <n v="6"/>
    <n v="2041.6666666666667"/>
    <n v="49000"/>
    <n v="5880"/>
    <n v="367.5"/>
    <n v="42752.5"/>
  </r>
  <r>
    <n v="889"/>
    <x v="888"/>
    <x v="0"/>
    <n v="21000"/>
    <n v="30"/>
    <x v="4"/>
    <n v="7"/>
    <n v="913.0434782608696"/>
    <n v="21000"/>
    <n v="2520"/>
    <n v="157.5"/>
    <n v="18322.5"/>
  </r>
  <r>
    <n v="890"/>
    <x v="889"/>
    <x v="1"/>
    <n v="51000"/>
    <n v="30"/>
    <x v="10"/>
    <n v="5"/>
    <n v="2040"/>
    <n v="51000"/>
    <n v="6120"/>
    <n v="382.5"/>
    <n v="44497.5"/>
  </r>
  <r>
    <n v="891"/>
    <x v="890"/>
    <x v="2"/>
    <n v="57000"/>
    <n v="30"/>
    <x v="4"/>
    <n v="7"/>
    <n v="2478.2608695652175"/>
    <n v="57000"/>
    <n v="6840"/>
    <n v="427.5"/>
    <n v="49732.5"/>
  </r>
  <r>
    <n v="892"/>
    <x v="891"/>
    <x v="3"/>
    <n v="58000"/>
    <n v="30"/>
    <x v="7"/>
    <n v="4"/>
    <n v="2230.769230769231"/>
    <n v="58000.00000000001"/>
    <n v="6960.000000000001"/>
    <n v="435.00000000000006"/>
    <n v="50605.00000000001"/>
  </r>
  <r>
    <n v="893"/>
    <x v="892"/>
    <x v="4"/>
    <n v="21000"/>
    <n v="30"/>
    <x v="9"/>
    <n v="2"/>
    <n v="750"/>
    <n v="21000"/>
    <n v="2520"/>
    <n v="157.5"/>
    <n v="18322.5"/>
  </r>
  <r>
    <n v="894"/>
    <x v="893"/>
    <x v="5"/>
    <n v="52000"/>
    <n v="30"/>
    <x v="0"/>
    <n v="10"/>
    <n v="2600"/>
    <n v="52000"/>
    <n v="6240"/>
    <n v="390"/>
    <n v="45370"/>
  </r>
  <r>
    <n v="895"/>
    <x v="894"/>
    <x v="0"/>
    <n v="49000"/>
    <n v="30"/>
    <x v="10"/>
    <n v="5"/>
    <n v="1960"/>
    <n v="49000"/>
    <n v="5880"/>
    <n v="367.5"/>
    <n v="42752.5"/>
  </r>
  <r>
    <n v="896"/>
    <x v="895"/>
    <x v="1"/>
    <n v="46000"/>
    <n v="30"/>
    <x v="5"/>
    <n v="3"/>
    <n v="1703.7037037037037"/>
    <n v="46000"/>
    <n v="5520"/>
    <n v="345"/>
    <n v="40135"/>
  </r>
  <r>
    <n v="897"/>
    <x v="896"/>
    <x v="2"/>
    <n v="15000"/>
    <n v="30"/>
    <x v="9"/>
    <n v="2"/>
    <n v="535.7142857142857"/>
    <n v="14999.999999999998"/>
    <n v="1799.9999999999998"/>
    <n v="112.49999999999999"/>
    <n v="13087.499999999998"/>
  </r>
  <r>
    <n v="898"/>
    <x v="897"/>
    <x v="3"/>
    <n v="24000"/>
    <n v="30"/>
    <x v="8"/>
    <n v="8"/>
    <n v="1090.909090909091"/>
    <n v="24000"/>
    <n v="2880"/>
    <n v="180"/>
    <n v="20940"/>
  </r>
  <r>
    <n v="899"/>
    <x v="898"/>
    <x v="4"/>
    <n v="48000"/>
    <n v="30"/>
    <x v="8"/>
    <n v="8"/>
    <n v="2181.818181818182"/>
    <n v="48000"/>
    <n v="5760"/>
    <n v="360"/>
    <n v="41880"/>
  </r>
  <r>
    <n v="900"/>
    <x v="899"/>
    <x v="5"/>
    <n v="57000"/>
    <n v="30"/>
    <x v="5"/>
    <n v="3"/>
    <n v="2111.1111111111113"/>
    <n v="57000.00000000001"/>
    <n v="6840.000000000001"/>
    <n v="427.50000000000006"/>
    <n v="49732.50000000001"/>
  </r>
  <r>
    <n v="901"/>
    <x v="900"/>
    <x v="0"/>
    <n v="50000"/>
    <n v="30"/>
    <x v="6"/>
    <n v="1"/>
    <n v="1724.1379310344828"/>
    <n v="50000"/>
    <n v="6000"/>
    <n v="375"/>
    <n v="43625"/>
  </r>
  <r>
    <n v="902"/>
    <x v="901"/>
    <x v="1"/>
    <n v="34000"/>
    <n v="30"/>
    <x v="8"/>
    <n v="8"/>
    <n v="1545.4545454545455"/>
    <n v="34000"/>
    <n v="4080"/>
    <n v="255"/>
    <n v="29665"/>
  </r>
  <r>
    <n v="903"/>
    <x v="902"/>
    <x v="2"/>
    <n v="26000"/>
    <n v="30"/>
    <x v="7"/>
    <n v="4"/>
    <n v="1000"/>
    <n v="26000"/>
    <n v="3120"/>
    <n v="195"/>
    <n v="22685"/>
  </r>
  <r>
    <n v="904"/>
    <x v="903"/>
    <x v="3"/>
    <n v="23000"/>
    <n v="30"/>
    <x v="7"/>
    <n v="4"/>
    <n v="884.6153846153846"/>
    <n v="23000"/>
    <n v="2760"/>
    <n v="172.5"/>
    <n v="20067.5"/>
  </r>
  <r>
    <n v="905"/>
    <x v="904"/>
    <x v="4"/>
    <n v="42000"/>
    <n v="30"/>
    <x v="10"/>
    <n v="5"/>
    <n v="1680"/>
    <n v="42000"/>
    <n v="5040"/>
    <n v="315"/>
    <n v="36645"/>
  </r>
  <r>
    <n v="906"/>
    <x v="905"/>
    <x v="5"/>
    <n v="59000"/>
    <n v="30"/>
    <x v="1"/>
    <n v="0"/>
    <n v="1966.6666666666667"/>
    <n v="59000"/>
    <n v="7080"/>
    <n v="442.5"/>
    <n v="51477.5"/>
  </r>
  <r>
    <n v="907"/>
    <x v="906"/>
    <x v="0"/>
    <n v="45000"/>
    <n v="30"/>
    <x v="5"/>
    <n v="3"/>
    <n v="1666.6666666666667"/>
    <n v="45000"/>
    <n v="5400"/>
    <n v="337.5"/>
    <n v="39262.5"/>
  </r>
  <r>
    <n v="908"/>
    <x v="907"/>
    <x v="1"/>
    <n v="25000"/>
    <n v="30"/>
    <x v="3"/>
    <n v="9"/>
    <n v="1190.4761904761904"/>
    <n v="24999.999999999996"/>
    <n v="2999.9999999999995"/>
    <n v="187.49999999999997"/>
    <n v="21812.499999999996"/>
  </r>
  <r>
    <n v="909"/>
    <x v="908"/>
    <x v="2"/>
    <n v="36000"/>
    <n v="30"/>
    <x v="7"/>
    <n v="4"/>
    <n v="1384.6153846153845"/>
    <n v="36000"/>
    <n v="4320"/>
    <n v="270"/>
    <n v="31410"/>
  </r>
  <r>
    <n v="910"/>
    <x v="909"/>
    <x v="3"/>
    <n v="49000"/>
    <n v="30"/>
    <x v="8"/>
    <n v="8"/>
    <n v="2227.2727272727275"/>
    <n v="49000.00000000001"/>
    <n v="5880.000000000001"/>
    <n v="367.50000000000006"/>
    <n v="42752.50000000001"/>
  </r>
  <r>
    <n v="911"/>
    <x v="910"/>
    <x v="4"/>
    <n v="56000"/>
    <n v="30"/>
    <x v="3"/>
    <n v="9"/>
    <n v="2666.6666666666665"/>
    <n v="56000"/>
    <n v="6720"/>
    <n v="420"/>
    <n v="48860"/>
  </r>
  <r>
    <n v="912"/>
    <x v="911"/>
    <x v="5"/>
    <n v="38000"/>
    <n v="30"/>
    <x v="10"/>
    <n v="5"/>
    <n v="1520"/>
    <n v="38000"/>
    <n v="4560"/>
    <n v="285"/>
    <n v="33155"/>
  </r>
  <r>
    <n v="913"/>
    <x v="912"/>
    <x v="0"/>
    <n v="59000"/>
    <n v="30"/>
    <x v="2"/>
    <n v="6"/>
    <n v="2458.3333333333335"/>
    <n v="59000"/>
    <n v="7080"/>
    <n v="442.5"/>
    <n v="51477.5"/>
  </r>
  <r>
    <n v="914"/>
    <x v="913"/>
    <x v="1"/>
    <n v="35000"/>
    <n v="30"/>
    <x v="1"/>
    <n v="0"/>
    <n v="1166.6666666666667"/>
    <n v="35000"/>
    <n v="4200"/>
    <n v="262.5"/>
    <n v="30537.5"/>
  </r>
  <r>
    <n v="915"/>
    <x v="914"/>
    <x v="2"/>
    <n v="29000"/>
    <n v="30"/>
    <x v="3"/>
    <n v="9"/>
    <n v="1380.952380952381"/>
    <n v="29000"/>
    <n v="3480"/>
    <n v="217.5"/>
    <n v="25302.5"/>
  </r>
  <r>
    <n v="916"/>
    <x v="915"/>
    <x v="3"/>
    <n v="15000"/>
    <n v="30"/>
    <x v="0"/>
    <n v="10"/>
    <n v="750"/>
    <n v="15000"/>
    <n v="1800"/>
    <n v="112.5"/>
    <n v="13087.5"/>
  </r>
  <r>
    <n v="917"/>
    <x v="916"/>
    <x v="4"/>
    <n v="38000"/>
    <n v="30"/>
    <x v="3"/>
    <n v="9"/>
    <n v="1809.5238095238096"/>
    <n v="38000"/>
    <n v="4560"/>
    <n v="285"/>
    <n v="33155"/>
  </r>
  <r>
    <n v="918"/>
    <x v="917"/>
    <x v="5"/>
    <n v="29000"/>
    <n v="30"/>
    <x v="6"/>
    <n v="1"/>
    <n v="1000"/>
    <n v="29000"/>
    <n v="3480"/>
    <n v="217.5"/>
    <n v="25302.5"/>
  </r>
  <r>
    <n v="919"/>
    <x v="918"/>
    <x v="0"/>
    <n v="27000"/>
    <n v="30"/>
    <x v="3"/>
    <n v="9"/>
    <n v="1285.7142857142858"/>
    <n v="27000"/>
    <n v="3240"/>
    <n v="202.5"/>
    <n v="23557.5"/>
  </r>
  <r>
    <n v="920"/>
    <x v="919"/>
    <x v="1"/>
    <n v="26000"/>
    <n v="30"/>
    <x v="3"/>
    <n v="9"/>
    <n v="1238.095238095238"/>
    <n v="26000"/>
    <n v="3120"/>
    <n v="195"/>
    <n v="22685"/>
  </r>
  <r>
    <n v="921"/>
    <x v="920"/>
    <x v="2"/>
    <n v="21000"/>
    <n v="30"/>
    <x v="8"/>
    <n v="8"/>
    <n v="954.5454545454545"/>
    <n v="21000"/>
    <n v="2520"/>
    <n v="157.5"/>
    <n v="18322.5"/>
  </r>
  <r>
    <n v="922"/>
    <x v="921"/>
    <x v="3"/>
    <n v="36000"/>
    <n v="30"/>
    <x v="2"/>
    <n v="6"/>
    <n v="1500"/>
    <n v="36000"/>
    <n v="4320"/>
    <n v="270"/>
    <n v="31410"/>
  </r>
  <r>
    <n v="923"/>
    <x v="922"/>
    <x v="4"/>
    <n v="44000"/>
    <n v="30"/>
    <x v="0"/>
    <n v="10"/>
    <n v="2200"/>
    <n v="44000"/>
    <n v="5280"/>
    <n v="330"/>
    <n v="38390"/>
  </r>
  <r>
    <n v="924"/>
    <x v="923"/>
    <x v="5"/>
    <n v="18000"/>
    <n v="30"/>
    <x v="2"/>
    <n v="6"/>
    <n v="750"/>
    <n v="18000"/>
    <n v="2160"/>
    <n v="135"/>
    <n v="15705"/>
  </r>
  <r>
    <n v="925"/>
    <x v="924"/>
    <x v="0"/>
    <n v="44000"/>
    <n v="30"/>
    <x v="5"/>
    <n v="3"/>
    <n v="1629.6296296296296"/>
    <n v="44000"/>
    <n v="5280"/>
    <n v="330"/>
    <n v="38390"/>
  </r>
  <r>
    <n v="926"/>
    <x v="925"/>
    <x v="1"/>
    <n v="21000"/>
    <n v="30"/>
    <x v="2"/>
    <n v="6"/>
    <n v="875"/>
    <n v="21000"/>
    <n v="2520"/>
    <n v="157.5"/>
    <n v="18322.5"/>
  </r>
  <r>
    <n v="927"/>
    <x v="926"/>
    <x v="2"/>
    <n v="17000"/>
    <n v="30"/>
    <x v="3"/>
    <n v="9"/>
    <n v="809.5238095238095"/>
    <n v="17000"/>
    <n v="2040"/>
    <n v="127.5"/>
    <n v="14832.5"/>
  </r>
  <r>
    <n v="928"/>
    <x v="927"/>
    <x v="3"/>
    <n v="22000"/>
    <n v="30"/>
    <x v="7"/>
    <n v="4"/>
    <n v="846.1538461538462"/>
    <n v="22000"/>
    <n v="2640"/>
    <n v="165"/>
    <n v="19195"/>
  </r>
  <r>
    <n v="929"/>
    <x v="928"/>
    <x v="4"/>
    <n v="49000"/>
    <n v="30"/>
    <x v="7"/>
    <n v="4"/>
    <n v="1884.6153846153845"/>
    <n v="49000"/>
    <n v="5880"/>
    <n v="367.5"/>
    <n v="42752.5"/>
  </r>
  <r>
    <n v="930"/>
    <x v="929"/>
    <x v="5"/>
    <n v="48000"/>
    <n v="30"/>
    <x v="4"/>
    <n v="7"/>
    <n v="2086.9565217391305"/>
    <n v="48000"/>
    <n v="5760"/>
    <n v="360"/>
    <n v="41880"/>
  </r>
  <r>
    <n v="931"/>
    <x v="930"/>
    <x v="0"/>
    <n v="31000"/>
    <n v="30"/>
    <x v="3"/>
    <n v="9"/>
    <n v="1476.1904761904761"/>
    <n v="31000"/>
    <n v="3720"/>
    <n v="232.5"/>
    <n v="27047.5"/>
  </r>
  <r>
    <n v="932"/>
    <x v="931"/>
    <x v="1"/>
    <n v="20000"/>
    <n v="30"/>
    <x v="4"/>
    <n v="7"/>
    <n v="869.5652173913044"/>
    <n v="20000"/>
    <n v="2400"/>
    <n v="150"/>
    <n v="17450"/>
  </r>
  <r>
    <n v="933"/>
    <x v="932"/>
    <x v="2"/>
    <n v="47000"/>
    <n v="30"/>
    <x v="10"/>
    <n v="5"/>
    <n v="1880"/>
    <n v="47000"/>
    <n v="5640"/>
    <n v="352.5"/>
    <n v="41007.5"/>
  </r>
  <r>
    <n v="934"/>
    <x v="933"/>
    <x v="3"/>
    <n v="16000"/>
    <n v="30"/>
    <x v="6"/>
    <n v="1"/>
    <n v="551.7241379310345"/>
    <n v="16000.000000000002"/>
    <n v="1920.0000000000002"/>
    <n v="120.00000000000001"/>
    <n v="13960.000000000002"/>
  </r>
  <r>
    <n v="935"/>
    <x v="934"/>
    <x v="4"/>
    <n v="33000"/>
    <n v="30"/>
    <x v="2"/>
    <n v="6"/>
    <n v="1375"/>
    <n v="33000"/>
    <n v="3960"/>
    <n v="247.5"/>
    <n v="28792.5"/>
  </r>
  <r>
    <n v="936"/>
    <x v="935"/>
    <x v="5"/>
    <n v="42000"/>
    <n v="30"/>
    <x v="6"/>
    <n v="1"/>
    <n v="1448.2758620689656"/>
    <n v="42000"/>
    <n v="5040"/>
    <n v="315"/>
    <n v="36645"/>
  </r>
  <r>
    <n v="937"/>
    <x v="936"/>
    <x v="0"/>
    <n v="47000"/>
    <n v="30"/>
    <x v="4"/>
    <n v="7"/>
    <n v="2043.4782608695652"/>
    <n v="47000"/>
    <n v="5640"/>
    <n v="352.5"/>
    <n v="41007.5"/>
  </r>
  <r>
    <n v="938"/>
    <x v="937"/>
    <x v="1"/>
    <n v="43000"/>
    <n v="30"/>
    <x v="8"/>
    <n v="8"/>
    <n v="1954.5454545454545"/>
    <n v="43000"/>
    <n v="5160"/>
    <n v="322.5"/>
    <n v="37517.5"/>
  </r>
  <r>
    <n v="939"/>
    <x v="938"/>
    <x v="2"/>
    <n v="60000"/>
    <n v="30"/>
    <x v="6"/>
    <n v="1"/>
    <n v="2068.9655172413795"/>
    <n v="60000.00000000001"/>
    <n v="7200.000000000001"/>
    <n v="450.00000000000006"/>
    <n v="52350.00000000001"/>
  </r>
  <r>
    <n v="940"/>
    <x v="939"/>
    <x v="3"/>
    <n v="18000"/>
    <n v="30"/>
    <x v="5"/>
    <n v="3"/>
    <n v="666.6666666666666"/>
    <n v="18000"/>
    <n v="2160"/>
    <n v="135"/>
    <n v="15705"/>
  </r>
  <r>
    <n v="941"/>
    <x v="940"/>
    <x v="4"/>
    <n v="30000"/>
    <n v="30"/>
    <x v="4"/>
    <n v="7"/>
    <n v="1304.3478260869565"/>
    <n v="30000"/>
    <n v="3600"/>
    <n v="225"/>
    <n v="26175"/>
  </r>
  <r>
    <n v="942"/>
    <x v="941"/>
    <x v="5"/>
    <n v="57000"/>
    <n v="30"/>
    <x v="6"/>
    <n v="1"/>
    <n v="1965.5172413793102"/>
    <n v="57000"/>
    <n v="6840"/>
    <n v="427.5"/>
    <n v="49732.5"/>
  </r>
  <r>
    <n v="943"/>
    <x v="942"/>
    <x v="0"/>
    <n v="57000"/>
    <n v="30"/>
    <x v="8"/>
    <n v="8"/>
    <n v="2590.909090909091"/>
    <n v="57000"/>
    <n v="6840"/>
    <n v="427.5"/>
    <n v="49732.5"/>
  </r>
  <r>
    <n v="944"/>
    <x v="943"/>
    <x v="1"/>
    <n v="38000"/>
    <n v="30"/>
    <x v="3"/>
    <n v="9"/>
    <n v="1809.5238095238096"/>
    <n v="38000"/>
    <n v="4560"/>
    <n v="285"/>
    <n v="33155"/>
  </r>
  <r>
    <n v="945"/>
    <x v="944"/>
    <x v="2"/>
    <n v="16000"/>
    <n v="30"/>
    <x v="5"/>
    <n v="3"/>
    <n v="592.5925925925926"/>
    <n v="16000"/>
    <n v="1920"/>
    <n v="120"/>
    <n v="13960"/>
  </r>
  <r>
    <n v="946"/>
    <x v="945"/>
    <x v="3"/>
    <n v="15000"/>
    <n v="30"/>
    <x v="3"/>
    <n v="9"/>
    <n v="714.2857142857143"/>
    <n v="15000.000000000002"/>
    <n v="1800.0000000000002"/>
    <n v="112.50000000000001"/>
    <n v="13087.500000000002"/>
  </r>
  <r>
    <n v="947"/>
    <x v="946"/>
    <x v="4"/>
    <n v="54000"/>
    <n v="30"/>
    <x v="9"/>
    <n v="2"/>
    <n v="1928.5714285714287"/>
    <n v="54000"/>
    <n v="6480"/>
    <n v="405"/>
    <n v="47115"/>
  </r>
  <r>
    <n v="948"/>
    <x v="947"/>
    <x v="5"/>
    <n v="40000"/>
    <n v="30"/>
    <x v="8"/>
    <n v="8"/>
    <n v="1818.1818181818182"/>
    <n v="40000"/>
    <n v="4800"/>
    <n v="300"/>
    <n v="34900"/>
  </r>
  <r>
    <n v="949"/>
    <x v="948"/>
    <x v="0"/>
    <n v="46000"/>
    <n v="30"/>
    <x v="6"/>
    <n v="1"/>
    <n v="1586.2068965517242"/>
    <n v="46000"/>
    <n v="5520"/>
    <n v="345"/>
    <n v="40135"/>
  </r>
  <r>
    <n v="950"/>
    <x v="949"/>
    <x v="1"/>
    <n v="31000"/>
    <n v="30"/>
    <x v="7"/>
    <n v="4"/>
    <n v="1192.3076923076924"/>
    <n v="31000"/>
    <n v="3720"/>
    <n v="232.5"/>
    <n v="27047.5"/>
  </r>
  <r>
    <n v="951"/>
    <x v="950"/>
    <x v="2"/>
    <n v="31000"/>
    <n v="30"/>
    <x v="4"/>
    <n v="7"/>
    <n v="1347.8260869565217"/>
    <n v="31000"/>
    <n v="3720"/>
    <n v="232.5"/>
    <n v="27047.5"/>
  </r>
  <r>
    <n v="952"/>
    <x v="951"/>
    <x v="3"/>
    <n v="20000"/>
    <n v="30"/>
    <x v="5"/>
    <n v="3"/>
    <n v="740.7407407407408"/>
    <n v="20000"/>
    <n v="2400"/>
    <n v="150"/>
    <n v="17450"/>
  </r>
  <r>
    <n v="953"/>
    <x v="952"/>
    <x v="4"/>
    <n v="56000"/>
    <n v="30"/>
    <x v="5"/>
    <n v="3"/>
    <n v="2074.074074074074"/>
    <n v="55999.99999999999"/>
    <n v="6719.999999999999"/>
    <n v="419.99999999999994"/>
    <n v="48859.99999999999"/>
  </r>
  <r>
    <n v="954"/>
    <x v="953"/>
    <x v="5"/>
    <n v="38000"/>
    <n v="30"/>
    <x v="0"/>
    <n v="10"/>
    <n v="1900"/>
    <n v="38000"/>
    <n v="4560"/>
    <n v="285"/>
    <n v="33155"/>
  </r>
  <r>
    <n v="955"/>
    <x v="954"/>
    <x v="0"/>
    <n v="26000"/>
    <n v="30"/>
    <x v="2"/>
    <n v="6"/>
    <n v="1083.3333333333333"/>
    <n v="26000"/>
    <n v="3120"/>
    <n v="195"/>
    <n v="22685"/>
  </r>
  <r>
    <n v="956"/>
    <x v="955"/>
    <x v="1"/>
    <n v="50000"/>
    <n v="30"/>
    <x v="10"/>
    <n v="5"/>
    <n v="2000"/>
    <n v="50000"/>
    <n v="6000"/>
    <n v="375"/>
    <n v="43625"/>
  </r>
  <r>
    <n v="957"/>
    <x v="956"/>
    <x v="2"/>
    <n v="60000"/>
    <n v="30"/>
    <x v="4"/>
    <n v="7"/>
    <n v="2608.695652173913"/>
    <n v="60000"/>
    <n v="7200"/>
    <n v="450"/>
    <n v="52350"/>
  </r>
  <r>
    <n v="958"/>
    <x v="957"/>
    <x v="3"/>
    <n v="53000"/>
    <n v="30"/>
    <x v="4"/>
    <n v="7"/>
    <n v="2304.3478260869565"/>
    <n v="53000"/>
    <n v="6360"/>
    <n v="397.5"/>
    <n v="46242.5"/>
  </r>
  <r>
    <n v="959"/>
    <x v="958"/>
    <x v="4"/>
    <n v="58000"/>
    <n v="30"/>
    <x v="10"/>
    <n v="5"/>
    <n v="2320"/>
    <n v="58000"/>
    <n v="6960"/>
    <n v="435"/>
    <n v="50605"/>
  </r>
  <r>
    <n v="960"/>
    <x v="959"/>
    <x v="5"/>
    <n v="48000"/>
    <n v="30"/>
    <x v="5"/>
    <n v="3"/>
    <n v="1777.7777777777778"/>
    <n v="48000"/>
    <n v="5760"/>
    <n v="360"/>
    <n v="41880"/>
  </r>
  <r>
    <n v="961"/>
    <x v="960"/>
    <x v="0"/>
    <n v="60000"/>
    <n v="30"/>
    <x v="9"/>
    <n v="2"/>
    <n v="2142.8571428571427"/>
    <n v="59999.99999999999"/>
    <n v="7199.999999999999"/>
    <n v="449.99999999999994"/>
    <n v="52349.99999999999"/>
  </r>
  <r>
    <n v="962"/>
    <x v="961"/>
    <x v="1"/>
    <n v="30000"/>
    <n v="30"/>
    <x v="1"/>
    <n v="0"/>
    <n v="1000"/>
    <n v="30000"/>
    <n v="3600"/>
    <n v="225"/>
    <n v="26175"/>
  </r>
  <r>
    <n v="963"/>
    <x v="962"/>
    <x v="2"/>
    <n v="22000"/>
    <n v="30"/>
    <x v="9"/>
    <n v="2"/>
    <n v="785.7142857142857"/>
    <n v="22000"/>
    <n v="2640"/>
    <n v="165"/>
    <n v="19195"/>
  </r>
  <r>
    <n v="964"/>
    <x v="963"/>
    <x v="3"/>
    <n v="37000"/>
    <n v="30"/>
    <x v="2"/>
    <n v="6"/>
    <n v="1541.6666666666667"/>
    <n v="37000"/>
    <n v="4440"/>
    <n v="277.5"/>
    <n v="32282.5"/>
  </r>
  <r>
    <n v="965"/>
    <x v="964"/>
    <x v="4"/>
    <n v="24000"/>
    <n v="30"/>
    <x v="4"/>
    <n v="7"/>
    <n v="1043.4782608695652"/>
    <n v="24000"/>
    <n v="2880"/>
    <n v="180"/>
    <n v="20940"/>
  </r>
  <r>
    <n v="966"/>
    <x v="965"/>
    <x v="5"/>
    <n v="59000"/>
    <n v="30"/>
    <x v="0"/>
    <n v="10"/>
    <n v="2950"/>
    <n v="59000"/>
    <n v="7080"/>
    <n v="442.5"/>
    <n v="51477.5"/>
  </r>
  <r>
    <n v="967"/>
    <x v="966"/>
    <x v="0"/>
    <n v="38000"/>
    <n v="30"/>
    <x v="2"/>
    <n v="6"/>
    <n v="1583.3333333333333"/>
    <n v="38000"/>
    <n v="4560"/>
    <n v="285"/>
    <n v="33155"/>
  </r>
  <r>
    <n v="968"/>
    <x v="967"/>
    <x v="1"/>
    <n v="49000"/>
    <n v="30"/>
    <x v="5"/>
    <n v="3"/>
    <n v="1814.8148148148148"/>
    <n v="49000"/>
    <n v="5880"/>
    <n v="367.5"/>
    <n v="42752.5"/>
  </r>
  <r>
    <n v="969"/>
    <x v="968"/>
    <x v="2"/>
    <n v="60000"/>
    <n v="30"/>
    <x v="8"/>
    <n v="8"/>
    <n v="2727.2727272727275"/>
    <n v="60000.00000000001"/>
    <n v="7200.000000000001"/>
    <n v="450.00000000000006"/>
    <n v="52350.00000000001"/>
  </r>
  <r>
    <n v="970"/>
    <x v="969"/>
    <x v="3"/>
    <n v="59000"/>
    <n v="30"/>
    <x v="6"/>
    <n v="1"/>
    <n v="2034.4827586206898"/>
    <n v="59000"/>
    <n v="7080"/>
    <n v="442.5"/>
    <n v="51477.5"/>
  </r>
  <r>
    <n v="971"/>
    <x v="970"/>
    <x v="4"/>
    <n v="29000"/>
    <n v="30"/>
    <x v="8"/>
    <n v="8"/>
    <n v="1318.1818181818182"/>
    <n v="29000"/>
    <n v="3480"/>
    <n v="217.5"/>
    <n v="25302.5"/>
  </r>
  <r>
    <n v="972"/>
    <x v="971"/>
    <x v="5"/>
    <n v="22000"/>
    <n v="30"/>
    <x v="4"/>
    <n v="7"/>
    <n v="956.5217391304348"/>
    <n v="22000"/>
    <n v="2640"/>
    <n v="165"/>
    <n v="19195"/>
  </r>
  <r>
    <n v="973"/>
    <x v="972"/>
    <x v="0"/>
    <n v="52000"/>
    <n v="30"/>
    <x v="8"/>
    <n v="8"/>
    <n v="2363.6363636363635"/>
    <n v="52000"/>
    <n v="6240"/>
    <n v="390"/>
    <n v="45370"/>
  </r>
  <r>
    <n v="974"/>
    <x v="973"/>
    <x v="1"/>
    <n v="26000"/>
    <n v="30"/>
    <x v="10"/>
    <n v="5"/>
    <n v="1040"/>
    <n v="26000"/>
    <n v="3120"/>
    <n v="195"/>
    <n v="22685"/>
  </r>
  <r>
    <n v="975"/>
    <x v="974"/>
    <x v="2"/>
    <n v="31000"/>
    <n v="30"/>
    <x v="9"/>
    <n v="2"/>
    <n v="1107.142857142857"/>
    <n v="31000"/>
    <n v="3720"/>
    <n v="232.5"/>
    <n v="27047.5"/>
  </r>
  <r>
    <n v="976"/>
    <x v="975"/>
    <x v="3"/>
    <n v="39000"/>
    <n v="30"/>
    <x v="5"/>
    <n v="3"/>
    <n v="1444.4444444444443"/>
    <n v="39000"/>
    <n v="4680"/>
    <n v="292.5"/>
    <n v="34027.5"/>
  </r>
  <r>
    <n v="977"/>
    <x v="976"/>
    <x v="4"/>
    <n v="39000"/>
    <n v="30"/>
    <x v="2"/>
    <n v="6"/>
    <n v="1625"/>
    <n v="39000"/>
    <n v="4680"/>
    <n v="292.5"/>
    <n v="34027.5"/>
  </r>
  <r>
    <n v="978"/>
    <x v="977"/>
    <x v="5"/>
    <n v="56000"/>
    <n v="30"/>
    <x v="6"/>
    <n v="1"/>
    <n v="1931.0344827586207"/>
    <n v="56000"/>
    <n v="6720"/>
    <n v="420"/>
    <n v="48860"/>
  </r>
  <r>
    <n v="979"/>
    <x v="978"/>
    <x v="0"/>
    <n v="15000"/>
    <n v="30"/>
    <x v="0"/>
    <n v="10"/>
    <n v="750"/>
    <n v="15000"/>
    <n v="1800"/>
    <n v="112.5"/>
    <n v="13087.5"/>
  </r>
  <r>
    <n v="980"/>
    <x v="979"/>
    <x v="1"/>
    <n v="29000"/>
    <n v="30"/>
    <x v="10"/>
    <n v="5"/>
    <n v="1160"/>
    <n v="29000"/>
    <n v="3480"/>
    <n v="217.5"/>
    <n v="25302.5"/>
  </r>
  <r>
    <n v="981"/>
    <x v="980"/>
    <x v="2"/>
    <n v="45000"/>
    <n v="30"/>
    <x v="6"/>
    <n v="1"/>
    <n v="1551.7241379310344"/>
    <n v="45000"/>
    <n v="5400"/>
    <n v="337.5"/>
    <n v="39262.5"/>
  </r>
  <r>
    <n v="982"/>
    <x v="981"/>
    <x v="3"/>
    <n v="26000"/>
    <n v="30"/>
    <x v="9"/>
    <n v="2"/>
    <n v="928.5714285714286"/>
    <n v="26000"/>
    <n v="3120"/>
    <n v="195"/>
    <n v="22685"/>
  </r>
  <r>
    <n v="983"/>
    <x v="982"/>
    <x v="4"/>
    <n v="56000"/>
    <n v="30"/>
    <x v="2"/>
    <n v="6"/>
    <n v="2333.3333333333335"/>
    <n v="56000"/>
    <n v="6720"/>
    <n v="420"/>
    <n v="48860"/>
  </r>
  <r>
    <n v="984"/>
    <x v="983"/>
    <x v="5"/>
    <n v="24000"/>
    <n v="30"/>
    <x v="3"/>
    <n v="9"/>
    <n v="1142.857142857143"/>
    <n v="24000"/>
    <n v="2880"/>
    <n v="180"/>
    <n v="20940"/>
  </r>
  <r>
    <n v="985"/>
    <x v="984"/>
    <x v="0"/>
    <n v="57000"/>
    <n v="30"/>
    <x v="9"/>
    <n v="2"/>
    <n v="2035.7142857142858"/>
    <n v="57000"/>
    <n v="6840"/>
    <n v="427.5"/>
    <n v="49732.5"/>
  </r>
  <r>
    <n v="986"/>
    <x v="985"/>
    <x v="1"/>
    <n v="39000"/>
    <n v="30"/>
    <x v="3"/>
    <n v="9"/>
    <n v="1857.142857142857"/>
    <n v="39000"/>
    <n v="4680"/>
    <n v="292.5"/>
    <n v="34027.5"/>
  </r>
  <r>
    <n v="987"/>
    <x v="986"/>
    <x v="2"/>
    <n v="45000"/>
    <n v="30"/>
    <x v="10"/>
    <n v="5"/>
    <n v="1800"/>
    <n v="45000"/>
    <n v="5400"/>
    <n v="337.5"/>
    <n v="39262.5"/>
  </r>
  <r>
    <n v="988"/>
    <x v="987"/>
    <x v="3"/>
    <n v="23000"/>
    <n v="30"/>
    <x v="7"/>
    <n v="4"/>
    <n v="884.6153846153846"/>
    <n v="23000"/>
    <n v="2760"/>
    <n v="172.5"/>
    <n v="20067.5"/>
  </r>
  <r>
    <n v="989"/>
    <x v="988"/>
    <x v="4"/>
    <n v="58000"/>
    <n v="30"/>
    <x v="6"/>
    <n v="1"/>
    <n v="2000"/>
    <n v="58000"/>
    <n v="6960"/>
    <n v="435"/>
    <n v="50605"/>
  </r>
  <r>
    <n v="990"/>
    <x v="989"/>
    <x v="5"/>
    <n v="54000"/>
    <n v="30"/>
    <x v="5"/>
    <n v="3"/>
    <n v="2000"/>
    <n v="54000"/>
    <n v="6480"/>
    <n v="405"/>
    <n v="47115"/>
  </r>
  <r>
    <n v="991"/>
    <x v="990"/>
    <x v="0"/>
    <n v="35000"/>
    <n v="30"/>
    <x v="8"/>
    <n v="8"/>
    <n v="1590.909090909091"/>
    <n v="35000"/>
    <n v="4200"/>
    <n v="262.5"/>
    <n v="30537.5"/>
  </r>
  <r>
    <n v="992"/>
    <x v="991"/>
    <x v="1"/>
    <n v="15000"/>
    <n v="30"/>
    <x v="4"/>
    <n v="7"/>
    <n v="652.1739130434783"/>
    <n v="15000"/>
    <n v="1800"/>
    <n v="112.5"/>
    <n v="13087.5"/>
  </r>
  <r>
    <n v="993"/>
    <x v="992"/>
    <x v="2"/>
    <n v="38000"/>
    <n v="30"/>
    <x v="5"/>
    <n v="3"/>
    <n v="1407.4074074074074"/>
    <n v="38000"/>
    <n v="4560"/>
    <n v="285"/>
    <n v="33155"/>
  </r>
  <r>
    <n v="994"/>
    <x v="993"/>
    <x v="3"/>
    <n v="58000"/>
    <n v="30"/>
    <x v="1"/>
    <n v="0"/>
    <n v="1933.3333333333333"/>
    <n v="58000"/>
    <n v="6960"/>
    <n v="435"/>
    <n v="50605"/>
  </r>
  <r>
    <n v="995"/>
    <x v="994"/>
    <x v="4"/>
    <n v="27000"/>
    <n v="30"/>
    <x v="0"/>
    <n v="10"/>
    <n v="1350"/>
    <n v="27000"/>
    <n v="3240"/>
    <n v="202.5"/>
    <n v="23557.5"/>
  </r>
  <r>
    <n v="996"/>
    <x v="995"/>
    <x v="5"/>
    <n v="37000"/>
    <n v="30"/>
    <x v="6"/>
    <n v="1"/>
    <n v="1275.8620689655172"/>
    <n v="37000"/>
    <n v="4440"/>
    <n v="277.5"/>
    <n v="32282.5"/>
  </r>
  <r>
    <n v="997"/>
    <x v="996"/>
    <x v="0"/>
    <n v="58000"/>
    <n v="30"/>
    <x v="3"/>
    <n v="9"/>
    <n v="2761.904761904762"/>
    <n v="58000"/>
    <n v="6960"/>
    <n v="435"/>
    <n v="50605"/>
  </r>
  <r>
    <n v="998"/>
    <x v="997"/>
    <x v="1"/>
    <n v="52000"/>
    <n v="30"/>
    <x v="2"/>
    <n v="6"/>
    <n v="2166.6666666666665"/>
    <n v="52000"/>
    <n v="6240"/>
    <n v="390"/>
    <n v="45370"/>
  </r>
  <r>
    <n v="999"/>
    <x v="998"/>
    <x v="2"/>
    <n v="50000"/>
    <n v="30"/>
    <x v="1"/>
    <n v="0"/>
    <n v="1666.6666666666667"/>
    <n v="50000"/>
    <n v="6000"/>
    <n v="375"/>
    <n v="43625"/>
  </r>
  <r>
    <n v="1000"/>
    <x v="999"/>
    <x v="3"/>
    <n v="28000"/>
    <n v="30"/>
    <x v="5"/>
    <n v="3"/>
    <n v="1037.037037037037"/>
    <n v="27999.999999999996"/>
    <n v="3359.9999999999995"/>
    <n v="209.99999999999997"/>
    <n v="24429.999999999996"/>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Department">
  <location ref="A6:C14" firstHeaderRow="1" firstDataRow="2" firstDataCol="1"/>
  <pivotFields count="12">
    <pivotField numFmtId="0" showAll="0"/>
    <pivotField dataField="1"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7">
        <item x="5"/>
        <item x="3"/>
        <item x="1"/>
        <item x="4"/>
        <item x="0"/>
        <item x="2"/>
        <item t="default"/>
      </items>
    </pivotField>
    <pivotField numFmtId="0" showAll="0"/>
    <pivotField numFmtId="0" showAll="0"/>
    <pivotField numFmtId="0" showAll="0">
      <items count="12">
        <item x="0"/>
        <item x="3"/>
        <item x="8"/>
        <item x="4"/>
        <item x="2"/>
        <item x="10"/>
        <item x="7"/>
        <item x="5"/>
        <item x="9"/>
        <item x="6"/>
        <item x="1"/>
        <item t="default"/>
      </items>
    </pivotField>
    <pivotField numFmtId="0" showAll="0"/>
    <pivotField numFmtId="1" showAll="0"/>
    <pivotField numFmtId="1" showAll="0"/>
    <pivotField numFmtId="0" showAll="0"/>
    <pivotField numFmtId="1" showAll="0"/>
    <pivotField dataField="1" numFmtId="1" showAll="0"/>
  </pivotFields>
  <rowFields count="1">
    <field x="2"/>
  </rowFields>
  <rowItems count="7">
    <i>
      <x/>
    </i>
    <i>
      <x v="1"/>
    </i>
    <i>
      <x v="2"/>
    </i>
    <i>
      <x v="3"/>
    </i>
    <i>
      <x v="4"/>
    </i>
    <i>
      <x v="5"/>
    </i>
    <i t="grand">
      <x/>
    </i>
  </rowItems>
  <colFields count="1">
    <field x="-2"/>
  </colFields>
  <colItems count="2">
    <i>
      <x/>
    </i>
    <i i="1">
      <x v="1"/>
    </i>
  </colItems>
  <dataFields count="2">
    <dataField name="Total Employees" fld="1" subtotal="count" baseField="0" baseItem="0"/>
    <dataField name="Total Net Payout" fld="11" baseField="0" baseItem="0"/>
  </dataFields>
  <pivotTableStyleInfo name="PivotStyleDark2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2377884-67C5-2095-22F2-F4D1D9838159}" sourceName="Department">
  <pivotTables>
    <pivotTable tabId="1" name="PivotTable1"/>
  </pivotTables>
  <data>
    <tabular pivotCacheId="491422091" sortOrder="ascending" customListSort="1" showMissing="1" crossFilter="showItemsWithDataAtTop">
      <items count="6">
        <i x="5" s="1" nd="0"/>
        <i x="3" s="1" nd="0"/>
        <i x="1" s="1" nd="0"/>
        <i x="4" s="1" nd="0"/>
        <i x="0" s="1" nd="0"/>
        <i x="2" s="1" nd="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sent_Days" xr10:uid="{579AD9FA-9A65-6368-B548-912D8C0D3146}" sourceName="Present Days">
  <pivotTables>
    <pivotTable tabId="1" name="PivotTable1"/>
  </pivotTables>
  <data>
    <tabular pivotCacheId="491422091" sortOrder="ascending" customListSort="1" showMissing="1" crossFilter="showItemsWithDataAtTop">
      <items count="11">
        <i x="0" s="1" nd="0"/>
        <i x="3" s="1" nd="0"/>
        <i x="8" s="1" nd="0"/>
        <i x="4" s="1" nd="0"/>
        <i x="2" s="1" nd="0"/>
        <i x="10" s="1" nd="0"/>
        <i x="7" s="1" nd="0"/>
        <i x="5" s="1" nd="0"/>
        <i x="9" s="1" nd="0"/>
        <i x="6" s="1" nd="0"/>
        <i x="1" s="1" nd="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BCA20F7-7F72-6688-FC56-0638638C7CFC}" cache="Slicer_Department" caption="Department" startItem="0" columnCount="1" showCaption="1" level="0" style="SlicerStyleDark2" lockedPosition="0" rowHeight="241300"/>
  <slicer name="Present Days" xr10:uid="{971692A5-6578-92E8-23DB-4C2EE654041E}" cache="Slicer_Present_Days" caption="Present Days" startItem="0" columnCount="1" showCaption="1" level="0" style="SlicerStyleLight6" lockedPosi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 ref="$A$2:$L$1002">
  <autoFilter ref="$A$2:$L$1002"/>
  <tableColumns count="12">
    <tableColumn id="1" name="Empl ID"/>
    <tableColumn id="2" name="Empl Name"/>
    <tableColumn id="3" name="Department"/>
    <tableColumn id="4" name="Monthly Basic Salary"/>
    <tableColumn id="5" name="Total Month Days"/>
    <tableColumn id="6" name="Present Days"/>
    <tableColumn id="7" name="Absent Days"/>
    <tableColumn id="8" name="Per Day Salary"/>
    <tableColumn id="9" name="Earned Salary"/>
    <tableColumn id="10" name="PF Deduction (12%)"/>
    <tableColumn id="11" name="ESI Dedction (0.75%)"/>
    <tableColumn id="12" name="Net Payable Salary"/>
  </tableColumns>
  <tableStyleInfo name="TableStyleMedium11"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  Id="rId3" Type="http://schemas.openxmlformats.org/officeDocument/2006/relationships/pivotTable" Target="../pivotTables/pivot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showRowColHeaders="1" showZeros="1" zoomScale="100" workbookViewId="0">
      <selection activeCell="A1" activeCellId="0" sqref="A1"/>
    </sheetView>
  </sheetViews>
  <sheetFormatPr defaultRowHeight="14.25"/>
  <cols>
    <col bestFit="1" min="1" max="1" style="1" width="13.51171875"/>
    <col bestFit="1" min="2" max="2" style="1" width="14.7734375"/>
    <col bestFit="1" min="3" max="3" style="1" width="15.00390625"/>
    <col customWidth="1" min="4" max="4" style="1" width="12.8515625"/>
    <col customWidth="1" min="5" max="5" style="1" width="13.7109375"/>
    <col customWidth="1" min="6" max="6" style="1" width="13.28125"/>
    <col min="7" max="16384" style="1" width="9.140625"/>
  </cols>
  <sheetData>
    <row r="1" ht="42" customHeight="1">
      <c r="C1" s="2" t="s">
        <v>0</v>
      </c>
      <c r="D1" s="3"/>
      <c r="E1" s="3"/>
      <c r="F1" s="3"/>
      <c r="G1" s="3"/>
      <c r="H1" s="3"/>
      <c r="I1" s="3"/>
      <c r="J1" s="3"/>
      <c r="K1" s="3"/>
      <c r="L1" s="3"/>
      <c r="M1" s="3"/>
      <c r="N1" s="4"/>
    </row>
    <row r="4">
      <c r="A4" s="5" t="s">
        <v>1</v>
      </c>
      <c r="B4" s="5"/>
      <c r="C4" s="6" t="s">
        <v>2</v>
      </c>
      <c r="D4" s="6"/>
      <c r="E4" s="7" t="s">
        <v>3</v>
      </c>
      <c r="F4" s="7"/>
    </row>
    <row r="5">
      <c r="A5" s="5"/>
      <c r="B5" s="5"/>
      <c r="C5" s="6"/>
      <c r="D5" s="6"/>
      <c r="E5" s="7"/>
      <c r="F5" s="7"/>
    </row>
    <row r="6">
      <c r="A6" s="8"/>
      <c r="B6" s="8" t="s">
        <v>4</v>
      </c>
      <c r="C6" s="8"/>
      <c r="D6" s="1"/>
      <c r="E6" s="1"/>
      <c r="F6" s="1"/>
    </row>
    <row r="7">
      <c r="A7" s="9" t="s">
        <v>5</v>
      </c>
      <c r="B7" s="9" t="s">
        <v>6</v>
      </c>
      <c r="C7" s="9" t="s">
        <v>7</v>
      </c>
      <c r="D7" s="1"/>
      <c r="E7" s="1"/>
      <c r="F7" s="1"/>
    </row>
    <row r="8">
      <c r="A8" s="10" t="s">
        <v>8</v>
      </c>
      <c r="B8" s="9">
        <v>166</v>
      </c>
      <c r="C8" s="11">
        <v>5425205</v>
      </c>
      <c r="D8" s="1"/>
      <c r="E8" s="1"/>
      <c r="F8" s="1"/>
    </row>
    <row r="9">
      <c r="A9" s="10" t="s">
        <v>9</v>
      </c>
      <c r="B9" s="9">
        <v>167</v>
      </c>
      <c r="C9" s="11">
        <v>5302182.5</v>
      </c>
      <c r="D9" s="1"/>
      <c r="E9" s="1"/>
      <c r="F9" s="1"/>
    </row>
    <row r="10">
      <c r="A10" s="10" t="s">
        <v>10</v>
      </c>
      <c r="B10" s="9">
        <v>167</v>
      </c>
      <c r="C10" s="11">
        <v>5557825</v>
      </c>
      <c r="D10" s="1"/>
      <c r="E10" s="1"/>
      <c r="F10" s="1"/>
    </row>
    <row r="11">
      <c r="A11" s="10" t="s">
        <v>11</v>
      </c>
      <c r="B11" s="9">
        <v>166</v>
      </c>
      <c r="C11" s="11">
        <v>5550845</v>
      </c>
      <c r="D11" s="1"/>
      <c r="E11" s="1"/>
      <c r="F11" s="1"/>
    </row>
    <row r="12">
      <c r="A12" s="10" t="s">
        <v>12</v>
      </c>
      <c r="B12" s="9">
        <v>167</v>
      </c>
      <c r="C12" s="11">
        <v>5473192.5</v>
      </c>
      <c r="D12" s="1"/>
      <c r="E12" s="1"/>
      <c r="F12" s="1"/>
    </row>
    <row r="13" ht="14.25">
      <c r="A13" s="10" t="s">
        <v>13</v>
      </c>
      <c r="B13" s="9">
        <v>167</v>
      </c>
      <c r="C13" s="11">
        <v>5273390</v>
      </c>
    </row>
    <row r="14" ht="14.25">
      <c r="A14" s="10" t="s">
        <v>14</v>
      </c>
      <c r="B14" s="9">
        <v>1000</v>
      </c>
      <c r="C14" s="11">
        <v>32582640</v>
      </c>
    </row>
  </sheetData>
  <mergeCells count="4">
    <mergeCell ref="C1:N1"/>
    <mergeCell ref="A4:B5"/>
    <mergeCell ref="C4:D5"/>
    <mergeCell ref="E4:F5"/>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78C0D931-6437-407d-A8EE-F0AAD7539E65}">
      <x14:conditionalFormattings>
        <x14:conditionalFormatting xmlns:xm="http://schemas.microsoft.com/office/excel/2006/main">
          <x14:cfRule type="dataBar" priority="8" id="{00B70002-0062-4C6A-A8CF-0005007300AC}">
            <x14:dataBar maxLength="100" minLength="0" border="1" axisPosition="automatic" direction="context" negativeBarBorderColorSameAsPositive="0">
              <x14:cfvo type="autoMin"/>
              <x14:cfvo type="autoMax"/>
              <x14:fillColor rgb="FF638EC6"/>
              <x14:borderColor rgb="FF638EC6"/>
              <x14:negativeFillColor indexed="2"/>
              <x14:negativeBorderColor indexed="2"/>
              <x14:axisColor indexed="64"/>
            </x14:dataBar>
          </x14:cfRule>
          <xm:sqref>C8:C14</xm:sqref>
        </x14:conditionalFormatting>
        <x14:conditionalFormatting xmlns:xm="http://schemas.microsoft.com/office/excel/2006/main">
          <x14:cfRule type="dataBar" priority="7" id="{002800A9-00D8-40C1-ACEA-0030000C0050}">
            <x14:dataBar maxLength="100" minLength="0" border="1" axisPosition="automatic" direction="context" negativeBarBorderColorSameAsPositive="0">
              <x14:cfvo type="autoMin"/>
              <x14:cfvo type="autoMax"/>
              <x14:fillColor rgb="FFFF555A"/>
              <x14:borderColor rgb="FFFF555A"/>
              <x14:negativeFillColor indexed="2"/>
              <x14:negativeBorderColor indexed="2"/>
              <x14:axisColor indexed="64"/>
            </x14:dataBar>
          </x14:cfRule>
          <xm:sqref>C8:C14</xm:sqref>
        </x14:conditionalFormatting>
        <x14:conditionalFormatting xmlns:xm="http://schemas.microsoft.com/office/excel/2006/main">
          <x14:cfRule type="dataBar" priority="6" id="{00F2002E-005B-43DC-B212-00E800B80049}">
            <x14:dataBar maxLength="100" minLength="0" axisPosition="automatic" direction="context" gradient="0" negativeBarBorderColorSameAsPositive="0">
              <x14:cfvo type="autoMin"/>
              <x14:cfvo type="autoMax"/>
              <x14:fillColor rgb="FF63C384"/>
              <x14:negativeFillColor indexed="2"/>
              <x14:axisColor indexed="64"/>
            </x14:dataBar>
          </x14:cfRule>
          <xm:sqref>C8:C14</xm:sqref>
        </x14:conditionalFormatting>
        <x14:conditionalFormatting xmlns:xm="http://schemas.microsoft.com/office/excel/2006/main">
          <x14:cfRule type="dataBar" priority="5" id="{000000C3-0059-4169-BFDF-002500A3005E}">
            <x14:dataBar maxLength="100" minLength="0" axisPosition="automatic" direction="context" gradient="0" negativeBarBorderColorSameAsPositive="0">
              <x14:cfvo type="autoMin"/>
              <x14:cfvo type="autoMax"/>
              <x14:fillColor rgb="FF638EC6"/>
              <x14:negativeFillColor indexed="2"/>
              <x14:axisColor indexed="64"/>
            </x14:dataBar>
          </x14:cfRule>
          <xm:sqref>C8:C14</xm:sqref>
        </x14:conditionalFormatting>
        <x14:conditionalFormatting xmlns:xm="http://schemas.microsoft.com/office/excel/2006/main">
          <x14:cfRule type="dataBar" priority="4" id="{00C3006E-00A7-4A4C-9C2F-00720020004A}">
            <x14:dataBar maxLength="100" minLength="0" border="1" axisPosition="automatic" direction="context" negativeBarBorderColorSameAsPositive="0">
              <x14:cfvo type="autoMin"/>
              <x14:cfvo type="autoMax"/>
              <x14:fillColor rgb="FF638EC6"/>
              <x14:borderColor rgb="FF638EC6"/>
              <x14:negativeFillColor indexed="2"/>
              <x14:negativeBorderColor indexed="2"/>
              <x14:axisColor indexed="64"/>
            </x14:dataBar>
          </x14:cfRule>
          <xm:sqref>C8:C14</xm:sqref>
        </x14:conditionalFormatting>
        <x14:conditionalFormatting xmlns:xm="http://schemas.microsoft.com/office/excel/2006/main">
          <x14:cfRule type="dataBar" priority="3" id="{00B00086-00FD-491F-99A7-006E0023003A}">
            <x14:dataBar maxLength="100" minLength="0" border="1" axisPosition="automatic" direction="context" negativeBarBorderColorSameAsPositive="0">
              <x14:cfvo type="autoMin"/>
              <x14:cfvo type="autoMax"/>
              <x14:fillColor rgb="FFFF555A"/>
              <x14:borderColor rgb="FFFF555A"/>
              <x14:negativeFillColor indexed="2"/>
              <x14:negativeBorderColor indexed="2"/>
              <x14:axisColor indexed="64"/>
            </x14:dataBar>
          </x14:cfRule>
          <xm:sqref>C8:C14</xm:sqref>
        </x14:conditionalFormatting>
        <x14:conditionalFormatting xmlns:xm="http://schemas.microsoft.com/office/excel/2006/main">
          <x14:cfRule type="dataBar" priority="2" id="{00C0003A-0075-46AC-B62E-004C00C70050}">
            <x14:dataBar maxLength="100" minLength="0" axisPosition="automatic" direction="context" gradient="0" negativeBarBorderColorSameAsPositive="0">
              <x14:cfvo type="autoMin"/>
              <x14:cfvo type="autoMax"/>
              <x14:fillColor rgb="FF63C384"/>
              <x14:negativeFillColor indexed="2"/>
              <x14:axisColor indexed="64"/>
            </x14:dataBar>
          </x14:cfRule>
          <xm:sqref>C8:C14</xm:sqref>
        </x14:conditionalFormatting>
        <x14:conditionalFormatting xmlns:xm="http://schemas.microsoft.com/office/excel/2006/main">
          <x14:cfRule type="dataBar" priority="1" id="{00EE0009-0010-4E75-896C-005300CA0023}">
            <x14:dataBar maxLength="100" minLength="0" border="1" axisPosition="automatic" direction="context" negativeBarBorderColorSameAsPositive="0">
              <x14:cfvo type="autoMin"/>
              <x14:cfvo type="autoMax"/>
              <x14:fillColor rgb="FF63C384"/>
              <x14:borderColor rgb="FF63C384"/>
              <x14:negativeFillColor indexed="2"/>
              <x14:negativeBorderColor indexed="2"/>
              <x14:axisColor indexed="64"/>
            </x14:dataBar>
          </x14:cfRule>
          <xm:sqref>C8:C14</xm:sqref>
        </x14:conditionalFormatting>
      </x14:conditionalFormattings>
    </ext>
    <ext xmlns:x14="http://schemas.microsoft.com/office/spreadsheetml/2009/9/main" uri="{A8765BA9-456A-4dab-B4F3-ACF838C121DE}">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10.7109375"/>
    <col bestFit="1" customWidth="1" min="2" max="2" width="13.40234375"/>
    <col bestFit="1" customWidth="1" min="3" max="3" width="13.97265625"/>
    <col bestFit="1" customWidth="1" min="4" max="4" width="21.8515625"/>
    <col bestFit="1" customWidth="1" min="5" max="5" width="19.00390625"/>
    <col bestFit="1" customWidth="1" min="6" max="6" width="14.54296875"/>
    <col bestFit="1" customWidth="1" min="7" max="7" width="14.08203125"/>
    <col customWidth="1" min="8" max="8" width="16.7109375"/>
    <col bestFit="1" customWidth="1" min="9" max="9" width="15.453125"/>
    <col bestFit="1" customWidth="1" min="10" max="10" width="20.37109375"/>
    <col bestFit="1" customWidth="1" min="11" max="11" width="21.40234375"/>
    <col bestFit="1" customWidth="1" min="12" max="12" width="20.0234375"/>
  </cols>
  <sheetData>
    <row r="1" ht="23.25">
      <c r="E1" s="12" t="s">
        <v>15</v>
      </c>
      <c r="F1" s="12"/>
      <c r="G1" s="12"/>
      <c r="H1" s="12"/>
    </row>
    <row r="2" ht="14.25">
      <c r="A2" s="13" t="s">
        <v>16</v>
      </c>
      <c r="B2" s="13" t="s">
        <v>17</v>
      </c>
      <c r="C2" s="13" t="s">
        <v>5</v>
      </c>
      <c r="D2" s="13" t="s">
        <v>18</v>
      </c>
      <c r="E2" s="13" t="s">
        <v>19</v>
      </c>
      <c r="F2" s="13" t="s">
        <v>20</v>
      </c>
      <c r="G2" s="13" t="s">
        <v>21</v>
      </c>
      <c r="H2" s="13" t="s">
        <v>22</v>
      </c>
      <c r="I2" s="13" t="s">
        <v>23</v>
      </c>
      <c r="J2" s="13" t="s">
        <v>24</v>
      </c>
      <c r="K2" s="13" t="s">
        <v>25</v>
      </c>
      <c r="L2" s="13" t="s">
        <v>26</v>
      </c>
    </row>
    <row r="3" ht="14.25">
      <c r="A3" s="14">
        <v>1</v>
      </c>
      <c r="B3" s="14" t="str">
        <f t="shared" ref="B3:B9" si="0">"Empl_"&amp;A3</f>
        <v>Empl_1</v>
      </c>
      <c r="C3" s="14" t="s">
        <v>12</v>
      </c>
      <c r="D3" s="14">
        <v>60000</v>
      </c>
      <c r="E3" s="14">
        <f t="shared" ref="E3:E66" ca="1" si="1">DAY(EOMONTH(TODAY(),0))</f>
        <v>30</v>
      </c>
      <c r="F3" s="14">
        <v>20</v>
      </c>
      <c r="G3" s="14">
        <f t="shared" ref="G3:G9" si="2">E3-F3</f>
        <v>10</v>
      </c>
      <c r="H3" s="15">
        <f t="shared" ref="H3:H9" si="3">D3/F3</f>
        <v>3000</v>
      </c>
      <c r="I3" s="15">
        <f t="shared" ref="I3:I9" si="4">H3*F3</f>
        <v>60000</v>
      </c>
      <c r="J3" s="14">
        <f t="shared" ref="J3:J9" si="5">I3*12%</f>
        <v>7200</v>
      </c>
      <c r="K3" s="15">
        <f t="shared" ref="K3:K9" si="6">I3*0.75%</f>
        <v>450</v>
      </c>
      <c r="L3" s="15">
        <f t="shared" ref="L3:L9" si="7">I3-(J3+K3)</f>
        <v>52350</v>
      </c>
      <c r="M3" s="14"/>
      <c r="N3" s="14"/>
    </row>
    <row r="4" ht="14.25">
      <c r="A4" s="14">
        <v>2</v>
      </c>
      <c r="B4" s="14" t="str">
        <f t="shared" si="0"/>
        <v>Empl_2</v>
      </c>
      <c r="C4" s="14" t="s">
        <v>10</v>
      </c>
      <c r="D4" s="14">
        <v>33000</v>
      </c>
      <c r="E4" s="14">
        <f t="shared" ca="1" si="1"/>
        <v>30</v>
      </c>
      <c r="F4" s="14">
        <v>30</v>
      </c>
      <c r="G4" s="14">
        <f t="shared" si="2"/>
        <v>0</v>
      </c>
      <c r="H4" s="15">
        <f t="shared" si="3"/>
        <v>1100</v>
      </c>
      <c r="I4" s="15">
        <f t="shared" si="4"/>
        <v>33000</v>
      </c>
      <c r="J4" s="14">
        <f t="shared" si="5"/>
        <v>3960</v>
      </c>
      <c r="K4" s="15">
        <f t="shared" si="6"/>
        <v>247.5</v>
      </c>
      <c r="L4" s="15">
        <f t="shared" si="7"/>
        <v>28792.5</v>
      </c>
      <c r="M4" s="14"/>
      <c r="N4" s="14"/>
    </row>
    <row r="5" ht="14.25">
      <c r="A5" s="14">
        <v>3</v>
      </c>
      <c r="B5" s="14" t="str">
        <f t="shared" si="0"/>
        <v>Empl_3</v>
      </c>
      <c r="C5" s="14" t="s">
        <v>13</v>
      </c>
      <c r="D5" s="14">
        <v>43000</v>
      </c>
      <c r="E5" s="14">
        <f t="shared" ca="1" si="1"/>
        <v>30</v>
      </c>
      <c r="F5" s="14">
        <v>24</v>
      </c>
      <c r="G5" s="14">
        <f t="shared" si="2"/>
        <v>6</v>
      </c>
      <c r="H5" s="15">
        <f t="shared" si="3"/>
        <v>1791.6666666666667</v>
      </c>
      <c r="I5" s="15">
        <f t="shared" si="4"/>
        <v>43000</v>
      </c>
      <c r="J5" s="14">
        <f t="shared" si="5"/>
        <v>5160</v>
      </c>
      <c r="K5" s="15">
        <f t="shared" si="6"/>
        <v>322.5</v>
      </c>
      <c r="L5" s="15">
        <f t="shared" si="7"/>
        <v>37517.5</v>
      </c>
      <c r="M5" s="14"/>
      <c r="N5" s="14"/>
    </row>
    <row r="6" ht="14.25">
      <c r="A6" s="14">
        <v>4</v>
      </c>
      <c r="B6" s="14" t="str">
        <f t="shared" si="0"/>
        <v>Empl_4</v>
      </c>
      <c r="C6" s="14" t="s">
        <v>9</v>
      </c>
      <c r="D6" s="14">
        <v>59000</v>
      </c>
      <c r="E6" s="14">
        <f t="shared" ca="1" si="1"/>
        <v>30</v>
      </c>
      <c r="F6" s="14">
        <v>21</v>
      </c>
      <c r="G6" s="14">
        <f t="shared" si="2"/>
        <v>9</v>
      </c>
      <c r="H6" s="15">
        <f t="shared" si="3"/>
        <v>2809.5238095238096</v>
      </c>
      <c r="I6" s="15">
        <f t="shared" si="4"/>
        <v>59000</v>
      </c>
      <c r="J6" s="14">
        <f t="shared" si="5"/>
        <v>7080</v>
      </c>
      <c r="K6" s="15">
        <f t="shared" si="6"/>
        <v>442.5</v>
      </c>
      <c r="L6" s="15">
        <f t="shared" si="7"/>
        <v>51477.5</v>
      </c>
      <c r="M6" s="14"/>
      <c r="N6" s="14"/>
    </row>
    <row r="7" ht="14.25">
      <c r="A7" s="14">
        <v>5</v>
      </c>
      <c r="B7" s="14" t="str">
        <f t="shared" si="0"/>
        <v>Empl_5</v>
      </c>
      <c r="C7" s="14" t="s">
        <v>11</v>
      </c>
      <c r="D7" s="14">
        <v>56000</v>
      </c>
      <c r="E7" s="14">
        <f t="shared" ca="1" si="1"/>
        <v>30</v>
      </c>
      <c r="F7" s="14">
        <v>23</v>
      </c>
      <c r="G7" s="14">
        <f t="shared" si="2"/>
        <v>7</v>
      </c>
      <c r="H7" s="15">
        <f t="shared" si="3"/>
        <v>2434.782608695652</v>
      </c>
      <c r="I7" s="15">
        <f t="shared" si="4"/>
        <v>56000</v>
      </c>
      <c r="J7" s="14">
        <f t="shared" si="5"/>
        <v>6720</v>
      </c>
      <c r="K7" s="15">
        <f t="shared" si="6"/>
        <v>420</v>
      </c>
      <c r="L7" s="15">
        <f t="shared" si="7"/>
        <v>48860</v>
      </c>
      <c r="M7" s="14"/>
      <c r="N7" s="14"/>
    </row>
    <row r="8" ht="14.25">
      <c r="A8" s="14">
        <v>6</v>
      </c>
      <c r="B8" s="14" t="str">
        <f t="shared" si="0"/>
        <v>Empl_6</v>
      </c>
      <c r="C8" s="14" t="s">
        <v>8</v>
      </c>
      <c r="D8" s="14">
        <v>17000</v>
      </c>
      <c r="E8" s="14">
        <f t="shared" ca="1" si="1"/>
        <v>30</v>
      </c>
      <c r="F8" s="14">
        <v>27</v>
      </c>
      <c r="G8" s="14">
        <f t="shared" si="2"/>
        <v>3</v>
      </c>
      <c r="H8" s="15">
        <f t="shared" si="3"/>
        <v>629.62962962962968</v>
      </c>
      <c r="I8" s="15">
        <f t="shared" si="4"/>
        <v>17000</v>
      </c>
      <c r="J8" s="14">
        <f t="shared" si="5"/>
        <v>2040</v>
      </c>
      <c r="K8" s="15">
        <f t="shared" si="6"/>
        <v>127.5</v>
      </c>
      <c r="L8" s="15">
        <f t="shared" si="7"/>
        <v>14832.5</v>
      </c>
      <c r="M8" s="14"/>
      <c r="N8" s="14"/>
    </row>
    <row r="9" ht="14.25">
      <c r="A9" s="14">
        <v>7</v>
      </c>
      <c r="B9" s="14" t="str">
        <f t="shared" si="0"/>
        <v>Empl_7</v>
      </c>
      <c r="C9" s="14" t="s">
        <v>12</v>
      </c>
      <c r="D9" s="14">
        <v>41000</v>
      </c>
      <c r="E9" s="14">
        <f t="shared" ca="1" si="1"/>
        <v>30</v>
      </c>
      <c r="F9" s="14">
        <v>29</v>
      </c>
      <c r="G9" s="14">
        <f t="shared" si="2"/>
        <v>1</v>
      </c>
      <c r="H9" s="15">
        <f t="shared" si="3"/>
        <v>1413.7931034482758</v>
      </c>
      <c r="I9" s="15">
        <f t="shared" si="4"/>
        <v>41000</v>
      </c>
      <c r="J9" s="14">
        <f t="shared" si="5"/>
        <v>4920</v>
      </c>
      <c r="K9" s="15">
        <f t="shared" si="6"/>
        <v>307.5</v>
      </c>
      <c r="L9" s="15">
        <f t="shared" si="7"/>
        <v>35772.5</v>
      </c>
      <c r="M9" s="14"/>
      <c r="N9" s="14"/>
    </row>
    <row r="10" ht="14.25">
      <c r="A10" s="14">
        <v>8</v>
      </c>
      <c r="B10" s="14" t="str">
        <f t="shared" ref="B10:B73" si="8">"Empl_"&amp;A10</f>
        <v>Empl_8</v>
      </c>
      <c r="C10" s="14" t="s">
        <v>10</v>
      </c>
      <c r="D10" s="14">
        <v>53000</v>
      </c>
      <c r="E10" s="14">
        <f t="shared" ca="1" si="1"/>
        <v>30</v>
      </c>
      <c r="F10" s="14">
        <v>23</v>
      </c>
      <c r="G10" s="14">
        <f t="shared" ref="G10:G73" si="9">E10-F10</f>
        <v>7</v>
      </c>
      <c r="H10" s="15">
        <f t="shared" ref="H10:H73" si="10">D10/F10</f>
        <v>2304.3478260869565</v>
      </c>
      <c r="I10" s="15">
        <f t="shared" ref="I10:I73" si="11">H10*F10</f>
        <v>53000</v>
      </c>
      <c r="J10" s="14">
        <f t="shared" ref="J10:J73" si="12">I10*12%</f>
        <v>6360</v>
      </c>
      <c r="K10" s="15">
        <f t="shared" ref="K10:K73" si="13">I10*0.75%</f>
        <v>397.5</v>
      </c>
      <c r="L10" s="15">
        <f t="shared" ref="L10:L73" si="14">I10-(J10+K10)</f>
        <v>46242.5</v>
      </c>
      <c r="M10" s="14"/>
      <c r="N10" s="14"/>
    </row>
    <row r="11" ht="14.25">
      <c r="A11" s="14">
        <v>9</v>
      </c>
      <c r="B11" s="14" t="str">
        <f t="shared" si="8"/>
        <v>Empl_9</v>
      </c>
      <c r="C11" s="14" t="s">
        <v>13</v>
      </c>
      <c r="D11" s="14">
        <v>21000</v>
      </c>
      <c r="E11" s="14">
        <f t="shared" ca="1" si="1"/>
        <v>30</v>
      </c>
      <c r="F11" s="14">
        <v>21</v>
      </c>
      <c r="G11" s="14">
        <f t="shared" si="9"/>
        <v>9</v>
      </c>
      <c r="H11" s="15">
        <f t="shared" si="10"/>
        <v>1000</v>
      </c>
      <c r="I11" s="15">
        <f t="shared" si="11"/>
        <v>21000</v>
      </c>
      <c r="J11" s="14">
        <f t="shared" si="12"/>
        <v>2520</v>
      </c>
      <c r="K11" s="15">
        <f t="shared" si="13"/>
        <v>157.5</v>
      </c>
      <c r="L11" s="15">
        <f t="shared" si="14"/>
        <v>18322.5</v>
      </c>
      <c r="M11" s="14"/>
      <c r="N11" s="14"/>
    </row>
    <row r="12" ht="14.25">
      <c r="A12" s="14">
        <v>10</v>
      </c>
      <c r="B12" s="14" t="str">
        <f t="shared" si="8"/>
        <v>Empl_10</v>
      </c>
      <c r="C12" s="14" t="s">
        <v>9</v>
      </c>
      <c r="D12" s="14">
        <v>32000</v>
      </c>
      <c r="E12" s="14">
        <f t="shared" ca="1" si="1"/>
        <v>30</v>
      </c>
      <c r="F12" s="14">
        <v>26</v>
      </c>
      <c r="G12" s="14">
        <f t="shared" si="9"/>
        <v>4</v>
      </c>
      <c r="H12" s="15">
        <f t="shared" si="10"/>
        <v>1230.7692307692307</v>
      </c>
      <c r="I12" s="15">
        <f t="shared" si="11"/>
        <v>32000</v>
      </c>
      <c r="J12" s="14">
        <f t="shared" si="12"/>
        <v>3840</v>
      </c>
      <c r="K12" s="15">
        <f t="shared" si="13"/>
        <v>240</v>
      </c>
      <c r="L12" s="15">
        <f t="shared" si="14"/>
        <v>27920</v>
      </c>
      <c r="M12" s="14"/>
      <c r="N12" s="14"/>
    </row>
    <row r="13" ht="14.25">
      <c r="A13" s="14">
        <v>11</v>
      </c>
      <c r="B13" s="14" t="str">
        <f t="shared" si="8"/>
        <v>Empl_11</v>
      </c>
      <c r="C13" s="14" t="s">
        <v>11</v>
      </c>
      <c r="D13" s="14">
        <v>45000</v>
      </c>
      <c r="E13" s="14">
        <f t="shared" ca="1" si="1"/>
        <v>30</v>
      </c>
      <c r="F13" s="14">
        <v>30</v>
      </c>
      <c r="G13" s="14">
        <f t="shared" si="9"/>
        <v>0</v>
      </c>
      <c r="H13" s="15">
        <f t="shared" si="10"/>
        <v>1500</v>
      </c>
      <c r="I13" s="15">
        <f t="shared" si="11"/>
        <v>45000</v>
      </c>
      <c r="J13" s="14">
        <f t="shared" si="12"/>
        <v>5400</v>
      </c>
      <c r="K13" s="15">
        <f t="shared" si="13"/>
        <v>337.5</v>
      </c>
      <c r="L13" s="15">
        <f t="shared" si="14"/>
        <v>39262.5</v>
      </c>
      <c r="M13" s="14"/>
      <c r="N13" s="14"/>
    </row>
    <row r="14" ht="14.25">
      <c r="A14" s="14">
        <v>12</v>
      </c>
      <c r="B14" s="14" t="str">
        <f t="shared" si="8"/>
        <v>Empl_12</v>
      </c>
      <c r="C14" s="14" t="s">
        <v>8</v>
      </c>
      <c r="D14" s="14">
        <v>15000</v>
      </c>
      <c r="E14" s="14">
        <f t="shared" ca="1" si="1"/>
        <v>30</v>
      </c>
      <c r="F14" s="14">
        <v>30</v>
      </c>
      <c r="G14" s="14">
        <f t="shared" si="9"/>
        <v>0</v>
      </c>
      <c r="H14" s="15">
        <f t="shared" si="10"/>
        <v>500</v>
      </c>
      <c r="I14" s="15">
        <f t="shared" si="11"/>
        <v>15000</v>
      </c>
      <c r="J14" s="14">
        <f t="shared" si="12"/>
        <v>1800</v>
      </c>
      <c r="K14" s="15">
        <f t="shared" si="13"/>
        <v>112.5</v>
      </c>
      <c r="L14" s="15">
        <f t="shared" si="14"/>
        <v>13087.5</v>
      </c>
      <c r="M14" s="14"/>
      <c r="N14" s="14"/>
    </row>
    <row r="15" ht="14.25">
      <c r="A15" s="14">
        <v>13</v>
      </c>
      <c r="B15" s="14" t="str">
        <f t="shared" si="8"/>
        <v>Empl_13</v>
      </c>
      <c r="C15" s="14" t="s">
        <v>12</v>
      </c>
      <c r="D15" s="14">
        <v>48000</v>
      </c>
      <c r="E15" s="14">
        <f t="shared" ca="1" si="1"/>
        <v>30</v>
      </c>
      <c r="F15" s="14">
        <v>30</v>
      </c>
      <c r="G15" s="14">
        <f t="shared" si="9"/>
        <v>0</v>
      </c>
      <c r="H15" s="15">
        <f t="shared" si="10"/>
        <v>1600</v>
      </c>
      <c r="I15" s="15">
        <f t="shared" si="11"/>
        <v>48000</v>
      </c>
      <c r="J15" s="14">
        <f t="shared" si="12"/>
        <v>5760</v>
      </c>
      <c r="K15" s="15">
        <f t="shared" si="13"/>
        <v>360</v>
      </c>
      <c r="L15" s="15">
        <f t="shared" si="14"/>
        <v>41880</v>
      </c>
      <c r="M15" s="14"/>
      <c r="N15" s="14"/>
    </row>
    <row r="16" ht="14.25">
      <c r="A16" s="14">
        <v>14</v>
      </c>
      <c r="B16" s="14" t="str">
        <f t="shared" si="8"/>
        <v>Empl_14</v>
      </c>
      <c r="C16" s="14" t="s">
        <v>10</v>
      </c>
      <c r="D16" s="14">
        <v>57000</v>
      </c>
      <c r="E16" s="14">
        <f t="shared" ca="1" si="1"/>
        <v>30</v>
      </c>
      <c r="F16" s="14">
        <v>22</v>
      </c>
      <c r="G16" s="14">
        <f t="shared" si="9"/>
        <v>8</v>
      </c>
      <c r="H16" s="15">
        <f t="shared" si="10"/>
        <v>2590.909090909091</v>
      </c>
      <c r="I16" s="15">
        <f t="shared" si="11"/>
        <v>57000</v>
      </c>
      <c r="J16" s="14">
        <f t="shared" si="12"/>
        <v>6840</v>
      </c>
      <c r="K16" s="15">
        <f t="shared" si="13"/>
        <v>427.5</v>
      </c>
      <c r="L16" s="15">
        <f t="shared" si="14"/>
        <v>49732.5</v>
      </c>
      <c r="M16" s="14"/>
      <c r="N16" s="14"/>
    </row>
    <row r="17" ht="14.25">
      <c r="A17" s="14">
        <v>15</v>
      </c>
      <c r="B17" s="14" t="str">
        <f t="shared" si="8"/>
        <v>Empl_15</v>
      </c>
      <c r="C17" s="14" t="s">
        <v>13</v>
      </c>
      <c r="D17" s="14">
        <v>22000</v>
      </c>
      <c r="E17" s="14">
        <f t="shared" ca="1" si="1"/>
        <v>30</v>
      </c>
      <c r="F17" s="14">
        <v>29</v>
      </c>
      <c r="G17" s="14">
        <f t="shared" si="9"/>
        <v>1</v>
      </c>
      <c r="H17" s="15">
        <f t="shared" si="10"/>
        <v>758.62068965517244</v>
      </c>
      <c r="I17" s="15">
        <f t="shared" si="11"/>
        <v>22000</v>
      </c>
      <c r="J17" s="14">
        <f t="shared" si="12"/>
        <v>2640</v>
      </c>
      <c r="K17" s="15">
        <f t="shared" si="13"/>
        <v>165</v>
      </c>
      <c r="L17" s="15">
        <f t="shared" si="14"/>
        <v>19195</v>
      </c>
      <c r="M17" s="14"/>
      <c r="N17" s="14"/>
    </row>
    <row r="18" ht="14.25">
      <c r="A18" s="14">
        <v>16</v>
      </c>
      <c r="B18" s="14" t="str">
        <f t="shared" si="8"/>
        <v>Empl_16</v>
      </c>
      <c r="C18" s="14" t="s">
        <v>9</v>
      </c>
      <c r="D18" s="14">
        <v>52000</v>
      </c>
      <c r="E18" s="14">
        <f t="shared" ca="1" si="1"/>
        <v>30</v>
      </c>
      <c r="F18" s="14">
        <v>28</v>
      </c>
      <c r="G18" s="14">
        <f t="shared" si="9"/>
        <v>2</v>
      </c>
      <c r="H18" s="15">
        <f t="shared" si="10"/>
        <v>1857.1428571428571</v>
      </c>
      <c r="I18" s="15">
        <f t="shared" si="11"/>
        <v>52000</v>
      </c>
      <c r="J18" s="14">
        <f t="shared" si="12"/>
        <v>6240</v>
      </c>
      <c r="K18" s="15">
        <f t="shared" si="13"/>
        <v>390</v>
      </c>
      <c r="L18" s="15">
        <f t="shared" si="14"/>
        <v>45370</v>
      </c>
      <c r="M18" s="14"/>
      <c r="N18" s="14"/>
    </row>
    <row r="19" ht="14.25">
      <c r="A19" s="14">
        <v>17</v>
      </c>
      <c r="B19" s="14" t="str">
        <f t="shared" si="8"/>
        <v>Empl_17</v>
      </c>
      <c r="C19" s="14" t="s">
        <v>11</v>
      </c>
      <c r="D19" s="14">
        <v>20000</v>
      </c>
      <c r="E19" s="14">
        <f t="shared" ca="1" si="1"/>
        <v>30</v>
      </c>
      <c r="F19" s="14">
        <v>27</v>
      </c>
      <c r="G19" s="14">
        <f t="shared" si="9"/>
        <v>3</v>
      </c>
      <c r="H19" s="15">
        <f t="shared" si="10"/>
        <v>740.74074074074076</v>
      </c>
      <c r="I19" s="15">
        <f t="shared" si="11"/>
        <v>20000</v>
      </c>
      <c r="J19" s="14">
        <f t="shared" si="12"/>
        <v>2400</v>
      </c>
      <c r="K19" s="15">
        <f t="shared" si="13"/>
        <v>150</v>
      </c>
      <c r="L19" s="15">
        <f t="shared" si="14"/>
        <v>17450</v>
      </c>
      <c r="M19" s="14"/>
      <c r="N19" s="14"/>
    </row>
    <row r="20" ht="14.25">
      <c r="A20" s="14">
        <v>18</v>
      </c>
      <c r="B20" s="14" t="str">
        <f t="shared" si="8"/>
        <v>Empl_18</v>
      </c>
      <c r="C20" s="14" t="s">
        <v>8</v>
      </c>
      <c r="D20" s="14">
        <v>28000</v>
      </c>
      <c r="E20" s="14">
        <f t="shared" ca="1" si="1"/>
        <v>30</v>
      </c>
      <c r="F20" s="14">
        <v>25</v>
      </c>
      <c r="G20" s="14">
        <f t="shared" si="9"/>
        <v>5</v>
      </c>
      <c r="H20" s="15">
        <f t="shared" si="10"/>
        <v>1120</v>
      </c>
      <c r="I20" s="15">
        <f t="shared" si="11"/>
        <v>28000</v>
      </c>
      <c r="J20" s="14">
        <f t="shared" si="12"/>
        <v>3360</v>
      </c>
      <c r="K20" s="15">
        <f t="shared" si="13"/>
        <v>210</v>
      </c>
      <c r="L20" s="15">
        <f t="shared" si="14"/>
        <v>24430</v>
      </c>
      <c r="M20" s="14"/>
      <c r="N20" s="14"/>
    </row>
    <row r="21" ht="14.25">
      <c r="A21" s="14">
        <v>19</v>
      </c>
      <c r="B21" s="14" t="str">
        <f t="shared" si="8"/>
        <v>Empl_19</v>
      </c>
      <c r="C21" s="14" t="s">
        <v>12</v>
      </c>
      <c r="D21" s="14">
        <v>60000</v>
      </c>
      <c r="E21" s="14">
        <f t="shared" ca="1" si="1"/>
        <v>30</v>
      </c>
      <c r="F21" s="14">
        <v>28</v>
      </c>
      <c r="G21" s="14">
        <f t="shared" si="9"/>
        <v>2</v>
      </c>
      <c r="H21" s="15">
        <f t="shared" si="10"/>
        <v>2142.8571428571427</v>
      </c>
      <c r="I21" s="15">
        <f t="shared" si="11"/>
        <v>59999.999999999993</v>
      </c>
      <c r="J21" s="14">
        <f t="shared" si="12"/>
        <v>7199.9999999999991</v>
      </c>
      <c r="K21" s="15">
        <f t="shared" si="13"/>
        <v>449.99999999999994</v>
      </c>
      <c r="L21" s="15">
        <f t="shared" si="14"/>
        <v>52349.999999999993</v>
      </c>
      <c r="M21" s="14"/>
      <c r="N21" s="14"/>
    </row>
    <row r="22" ht="14.25">
      <c r="A22" s="14">
        <v>20</v>
      </c>
      <c r="B22" s="14" t="str">
        <f t="shared" si="8"/>
        <v>Empl_20</v>
      </c>
      <c r="C22" s="14" t="s">
        <v>10</v>
      </c>
      <c r="D22" s="14">
        <v>28000</v>
      </c>
      <c r="E22" s="14">
        <f t="shared" ca="1" si="1"/>
        <v>30</v>
      </c>
      <c r="F22" s="14">
        <v>28</v>
      </c>
      <c r="G22" s="14">
        <f t="shared" si="9"/>
        <v>2</v>
      </c>
      <c r="H22" s="15">
        <f t="shared" si="10"/>
        <v>1000</v>
      </c>
      <c r="I22" s="15">
        <f t="shared" si="11"/>
        <v>28000</v>
      </c>
      <c r="J22" s="14">
        <f t="shared" si="12"/>
        <v>3360</v>
      </c>
      <c r="K22" s="15">
        <f t="shared" si="13"/>
        <v>210</v>
      </c>
      <c r="L22" s="15">
        <f t="shared" si="14"/>
        <v>24430</v>
      </c>
      <c r="M22" s="14"/>
      <c r="N22" s="14"/>
    </row>
    <row r="23" ht="14.25">
      <c r="A23" s="14">
        <v>21</v>
      </c>
      <c r="B23" s="14" t="str">
        <f t="shared" si="8"/>
        <v>Empl_21</v>
      </c>
      <c r="C23" s="14" t="s">
        <v>13</v>
      </c>
      <c r="D23" s="14">
        <v>16000</v>
      </c>
      <c r="E23" s="14">
        <f t="shared" ca="1" si="1"/>
        <v>30</v>
      </c>
      <c r="F23" s="14">
        <v>25</v>
      </c>
      <c r="G23" s="14">
        <f t="shared" si="9"/>
        <v>5</v>
      </c>
      <c r="H23" s="15">
        <f t="shared" si="10"/>
        <v>640</v>
      </c>
      <c r="I23" s="15">
        <f t="shared" si="11"/>
        <v>16000</v>
      </c>
      <c r="J23" s="14">
        <f t="shared" si="12"/>
        <v>1920</v>
      </c>
      <c r="K23" s="15">
        <f t="shared" si="13"/>
        <v>120</v>
      </c>
      <c r="L23" s="15">
        <f t="shared" si="14"/>
        <v>13960</v>
      </c>
      <c r="M23" s="14"/>
      <c r="N23" s="14"/>
    </row>
    <row r="24" ht="14.25">
      <c r="A24" s="14">
        <v>22</v>
      </c>
      <c r="B24" s="14" t="str">
        <f t="shared" si="8"/>
        <v>Empl_22</v>
      </c>
      <c r="C24" s="14" t="s">
        <v>9</v>
      </c>
      <c r="D24" s="14">
        <v>19000</v>
      </c>
      <c r="E24" s="14">
        <f t="shared" ca="1" si="1"/>
        <v>30</v>
      </c>
      <c r="F24" s="14">
        <v>27</v>
      </c>
      <c r="G24" s="14">
        <f t="shared" si="9"/>
        <v>3</v>
      </c>
      <c r="H24" s="15">
        <f t="shared" si="10"/>
        <v>703.7037037037037</v>
      </c>
      <c r="I24" s="15">
        <f t="shared" si="11"/>
        <v>19000</v>
      </c>
      <c r="J24" s="14">
        <f t="shared" si="12"/>
        <v>2280</v>
      </c>
      <c r="K24" s="15">
        <f t="shared" si="13"/>
        <v>142.5</v>
      </c>
      <c r="L24" s="15">
        <f t="shared" si="14"/>
        <v>16577.5</v>
      </c>
      <c r="M24" s="14"/>
      <c r="N24" s="14"/>
    </row>
    <row r="25" ht="14.25">
      <c r="A25" s="14">
        <v>23</v>
      </c>
      <c r="B25" s="14" t="str">
        <f t="shared" si="8"/>
        <v>Empl_23</v>
      </c>
      <c r="C25" s="14" t="s">
        <v>11</v>
      </c>
      <c r="D25" s="14">
        <v>19000</v>
      </c>
      <c r="E25" s="14">
        <f t="shared" ca="1" si="1"/>
        <v>30</v>
      </c>
      <c r="F25" s="14">
        <v>29</v>
      </c>
      <c r="G25" s="14">
        <f t="shared" si="9"/>
        <v>1</v>
      </c>
      <c r="H25" s="15">
        <f t="shared" si="10"/>
        <v>655.17241379310349</v>
      </c>
      <c r="I25" s="15">
        <f t="shared" si="11"/>
        <v>19000</v>
      </c>
      <c r="J25" s="14">
        <f t="shared" si="12"/>
        <v>2280</v>
      </c>
      <c r="K25" s="15">
        <f t="shared" si="13"/>
        <v>142.5</v>
      </c>
      <c r="L25" s="15">
        <f t="shared" si="14"/>
        <v>16577.5</v>
      </c>
      <c r="M25" s="14"/>
      <c r="N25" s="14"/>
    </row>
    <row r="26" ht="14.25">
      <c r="A26" s="14">
        <v>24</v>
      </c>
      <c r="B26" s="14" t="str">
        <f t="shared" si="8"/>
        <v>Empl_24</v>
      </c>
      <c r="C26" s="14" t="s">
        <v>8</v>
      </c>
      <c r="D26" s="14">
        <v>26000</v>
      </c>
      <c r="E26" s="14">
        <f t="shared" ca="1" si="1"/>
        <v>30</v>
      </c>
      <c r="F26" s="14">
        <v>22</v>
      </c>
      <c r="G26" s="14">
        <f t="shared" si="9"/>
        <v>8</v>
      </c>
      <c r="H26" s="15">
        <f t="shared" si="10"/>
        <v>1181.8181818181818</v>
      </c>
      <c r="I26" s="15">
        <f t="shared" si="11"/>
        <v>26000</v>
      </c>
      <c r="J26" s="14">
        <f t="shared" si="12"/>
        <v>3120</v>
      </c>
      <c r="K26" s="15">
        <f t="shared" si="13"/>
        <v>195</v>
      </c>
      <c r="L26" s="15">
        <f t="shared" si="14"/>
        <v>22685</v>
      </c>
      <c r="M26" s="14"/>
      <c r="N26" s="14"/>
    </row>
    <row r="27" ht="14.25">
      <c r="A27" s="14">
        <v>25</v>
      </c>
      <c r="B27" s="14" t="str">
        <f t="shared" si="8"/>
        <v>Empl_25</v>
      </c>
      <c r="C27" s="14" t="s">
        <v>12</v>
      </c>
      <c r="D27" s="14">
        <v>35000</v>
      </c>
      <c r="E27" s="14">
        <f t="shared" ca="1" si="1"/>
        <v>30</v>
      </c>
      <c r="F27" s="14">
        <v>29</v>
      </c>
      <c r="G27" s="14">
        <f t="shared" si="9"/>
        <v>1</v>
      </c>
      <c r="H27" s="15">
        <f t="shared" si="10"/>
        <v>1206.8965517241379</v>
      </c>
      <c r="I27" s="15">
        <f t="shared" si="11"/>
        <v>35000</v>
      </c>
      <c r="J27" s="14">
        <f t="shared" si="12"/>
        <v>4200</v>
      </c>
      <c r="K27" s="15">
        <f t="shared" si="13"/>
        <v>262.5</v>
      </c>
      <c r="L27" s="15">
        <f t="shared" si="14"/>
        <v>30537.5</v>
      </c>
      <c r="M27" s="14"/>
      <c r="N27" s="14"/>
    </row>
    <row r="28" ht="14.25">
      <c r="A28" s="14">
        <v>26</v>
      </c>
      <c r="B28" s="14" t="str">
        <f t="shared" si="8"/>
        <v>Empl_26</v>
      </c>
      <c r="C28" s="14" t="s">
        <v>10</v>
      </c>
      <c r="D28" s="14">
        <v>19000</v>
      </c>
      <c r="E28" s="14">
        <f t="shared" ca="1" si="1"/>
        <v>30</v>
      </c>
      <c r="F28" s="14">
        <v>24</v>
      </c>
      <c r="G28" s="14">
        <f t="shared" si="9"/>
        <v>6</v>
      </c>
      <c r="H28" s="15">
        <f t="shared" si="10"/>
        <v>791.66666666666663</v>
      </c>
      <c r="I28" s="15">
        <f t="shared" si="11"/>
        <v>19000</v>
      </c>
      <c r="J28" s="14">
        <f t="shared" si="12"/>
        <v>2280</v>
      </c>
      <c r="K28" s="15">
        <f t="shared" si="13"/>
        <v>142.5</v>
      </c>
      <c r="L28" s="15">
        <f t="shared" si="14"/>
        <v>16577.5</v>
      </c>
      <c r="M28" s="14"/>
      <c r="N28" s="14"/>
    </row>
    <row r="29" ht="14.25">
      <c r="A29" s="14">
        <v>27</v>
      </c>
      <c r="B29" s="14" t="str">
        <f t="shared" si="8"/>
        <v>Empl_27</v>
      </c>
      <c r="C29" s="14" t="s">
        <v>13</v>
      </c>
      <c r="D29" s="14">
        <v>28000</v>
      </c>
      <c r="E29" s="14">
        <f t="shared" ca="1" si="1"/>
        <v>30</v>
      </c>
      <c r="F29" s="14">
        <v>30</v>
      </c>
      <c r="G29" s="14">
        <f t="shared" si="9"/>
        <v>0</v>
      </c>
      <c r="H29" s="15">
        <f t="shared" si="10"/>
        <v>933.33333333333337</v>
      </c>
      <c r="I29" s="15">
        <f t="shared" si="11"/>
        <v>28000</v>
      </c>
      <c r="J29" s="14">
        <f t="shared" si="12"/>
        <v>3360</v>
      </c>
      <c r="K29" s="15">
        <f t="shared" si="13"/>
        <v>210</v>
      </c>
      <c r="L29" s="15">
        <f t="shared" si="14"/>
        <v>24430</v>
      </c>
      <c r="M29" s="14"/>
      <c r="N29" s="14"/>
    </row>
    <row r="30" ht="14.25">
      <c r="A30" s="14">
        <v>28</v>
      </c>
      <c r="B30" s="14" t="str">
        <f t="shared" si="8"/>
        <v>Empl_28</v>
      </c>
      <c r="C30" s="14" t="s">
        <v>9</v>
      </c>
      <c r="D30" s="14">
        <v>31000</v>
      </c>
      <c r="E30" s="14">
        <f t="shared" ca="1" si="1"/>
        <v>30</v>
      </c>
      <c r="F30" s="14">
        <v>24</v>
      </c>
      <c r="G30" s="14">
        <f t="shared" si="9"/>
        <v>6</v>
      </c>
      <c r="H30" s="15">
        <f t="shared" si="10"/>
        <v>1291.6666666666667</v>
      </c>
      <c r="I30" s="15">
        <f t="shared" si="11"/>
        <v>31000</v>
      </c>
      <c r="J30" s="14">
        <f t="shared" si="12"/>
        <v>3720</v>
      </c>
      <c r="K30" s="15">
        <f t="shared" si="13"/>
        <v>232.5</v>
      </c>
      <c r="L30" s="15">
        <f t="shared" si="14"/>
        <v>27047.5</v>
      </c>
      <c r="M30" s="14"/>
      <c r="N30" s="14"/>
    </row>
    <row r="31" ht="14.25">
      <c r="A31" s="14">
        <v>29</v>
      </c>
      <c r="B31" s="14" t="str">
        <f t="shared" si="8"/>
        <v>Empl_29</v>
      </c>
      <c r="C31" s="14" t="s">
        <v>11</v>
      </c>
      <c r="D31" s="14">
        <v>42000</v>
      </c>
      <c r="E31" s="14">
        <f t="shared" ca="1" si="1"/>
        <v>30</v>
      </c>
      <c r="F31" s="14">
        <v>21</v>
      </c>
      <c r="G31" s="14">
        <f t="shared" si="9"/>
        <v>9</v>
      </c>
      <c r="H31" s="15">
        <f t="shared" si="10"/>
        <v>2000</v>
      </c>
      <c r="I31" s="15">
        <f t="shared" si="11"/>
        <v>42000</v>
      </c>
      <c r="J31" s="14">
        <f t="shared" si="12"/>
        <v>5040</v>
      </c>
      <c r="K31" s="15">
        <f t="shared" si="13"/>
        <v>315</v>
      </c>
      <c r="L31" s="15">
        <f t="shared" si="14"/>
        <v>36645</v>
      </c>
      <c r="M31" s="14"/>
      <c r="N31" s="14"/>
    </row>
    <row r="32" ht="14.25">
      <c r="A32" s="14">
        <v>30</v>
      </c>
      <c r="B32" s="14" t="str">
        <f t="shared" si="8"/>
        <v>Empl_30</v>
      </c>
      <c r="C32" s="14" t="s">
        <v>8</v>
      </c>
      <c r="D32" s="14">
        <v>46000</v>
      </c>
      <c r="E32" s="14">
        <f t="shared" ca="1" si="1"/>
        <v>30</v>
      </c>
      <c r="F32" s="14">
        <v>21</v>
      </c>
      <c r="G32" s="14">
        <f t="shared" si="9"/>
        <v>9</v>
      </c>
      <c r="H32" s="15">
        <f t="shared" si="10"/>
        <v>2190.4761904761904</v>
      </c>
      <c r="I32" s="15">
        <f t="shared" si="11"/>
        <v>46000</v>
      </c>
      <c r="J32" s="14">
        <f t="shared" si="12"/>
        <v>5520</v>
      </c>
      <c r="K32" s="15">
        <f t="shared" si="13"/>
        <v>345</v>
      </c>
      <c r="L32" s="15">
        <f t="shared" si="14"/>
        <v>40135</v>
      </c>
      <c r="M32" s="14"/>
      <c r="N32" s="14"/>
    </row>
    <row r="33" ht="14.25">
      <c r="A33" s="14">
        <v>31</v>
      </c>
      <c r="B33" s="14" t="str">
        <f t="shared" si="8"/>
        <v>Empl_31</v>
      </c>
      <c r="C33" s="14" t="s">
        <v>12</v>
      </c>
      <c r="D33" s="14">
        <v>28000</v>
      </c>
      <c r="E33" s="14">
        <f t="shared" ca="1" si="1"/>
        <v>30</v>
      </c>
      <c r="F33" s="14">
        <v>30</v>
      </c>
      <c r="G33" s="14">
        <f t="shared" si="9"/>
        <v>0</v>
      </c>
      <c r="H33" s="15">
        <f t="shared" si="10"/>
        <v>933.33333333333337</v>
      </c>
      <c r="I33" s="15">
        <f t="shared" si="11"/>
        <v>28000</v>
      </c>
      <c r="J33" s="14">
        <f t="shared" si="12"/>
        <v>3360</v>
      </c>
      <c r="K33" s="15">
        <f t="shared" si="13"/>
        <v>210</v>
      </c>
      <c r="L33" s="15">
        <f t="shared" si="14"/>
        <v>24430</v>
      </c>
      <c r="M33" s="14"/>
      <c r="N33" s="14"/>
    </row>
    <row r="34" ht="14.25">
      <c r="A34" s="14">
        <v>32</v>
      </c>
      <c r="B34" s="14" t="str">
        <f t="shared" si="8"/>
        <v>Empl_32</v>
      </c>
      <c r="C34" s="14" t="s">
        <v>10</v>
      </c>
      <c r="D34" s="14">
        <v>40000</v>
      </c>
      <c r="E34" s="14">
        <f t="shared" ca="1" si="1"/>
        <v>30</v>
      </c>
      <c r="F34" s="14">
        <v>26</v>
      </c>
      <c r="G34" s="14">
        <f t="shared" si="9"/>
        <v>4</v>
      </c>
      <c r="H34" s="15">
        <f t="shared" si="10"/>
        <v>1538.4615384615386</v>
      </c>
      <c r="I34" s="15">
        <f t="shared" si="11"/>
        <v>40000</v>
      </c>
      <c r="J34" s="14">
        <f t="shared" si="12"/>
        <v>4800</v>
      </c>
      <c r="K34" s="15">
        <f t="shared" si="13"/>
        <v>300</v>
      </c>
      <c r="L34" s="15">
        <f t="shared" si="14"/>
        <v>34900</v>
      </c>
      <c r="M34" s="14"/>
      <c r="N34" s="14"/>
    </row>
    <row r="35" ht="14.25">
      <c r="A35" s="14">
        <v>33</v>
      </c>
      <c r="B35" s="14" t="str">
        <f t="shared" si="8"/>
        <v>Empl_33</v>
      </c>
      <c r="C35" s="14" t="s">
        <v>13</v>
      </c>
      <c r="D35" s="14">
        <v>29000</v>
      </c>
      <c r="E35" s="14">
        <f t="shared" ca="1" si="1"/>
        <v>30</v>
      </c>
      <c r="F35" s="14">
        <v>20</v>
      </c>
      <c r="G35" s="14">
        <f t="shared" si="9"/>
        <v>10</v>
      </c>
      <c r="H35" s="15">
        <f t="shared" si="10"/>
        <v>1450</v>
      </c>
      <c r="I35" s="15">
        <f t="shared" si="11"/>
        <v>29000</v>
      </c>
      <c r="J35" s="14">
        <f t="shared" si="12"/>
        <v>3480</v>
      </c>
      <c r="K35" s="15">
        <f t="shared" si="13"/>
        <v>217.5</v>
      </c>
      <c r="L35" s="15">
        <f t="shared" si="14"/>
        <v>25302.5</v>
      </c>
      <c r="M35" s="14"/>
      <c r="N35" s="14"/>
    </row>
    <row r="36" ht="14.25">
      <c r="A36" s="14">
        <v>34</v>
      </c>
      <c r="B36" s="14" t="str">
        <f t="shared" si="8"/>
        <v>Empl_34</v>
      </c>
      <c r="C36" s="14" t="s">
        <v>9</v>
      </c>
      <c r="D36" s="14">
        <v>15000</v>
      </c>
      <c r="E36" s="14">
        <f t="shared" ca="1" si="1"/>
        <v>30</v>
      </c>
      <c r="F36" s="14">
        <v>21</v>
      </c>
      <c r="G36" s="14">
        <f t="shared" si="9"/>
        <v>9</v>
      </c>
      <c r="H36" s="15">
        <f t="shared" si="10"/>
        <v>714.28571428571433</v>
      </c>
      <c r="I36" s="15">
        <f t="shared" si="11"/>
        <v>15000.000000000002</v>
      </c>
      <c r="J36" s="14">
        <f t="shared" si="12"/>
        <v>1800.0000000000002</v>
      </c>
      <c r="K36" s="15">
        <f t="shared" si="13"/>
        <v>112.50000000000001</v>
      </c>
      <c r="L36" s="15">
        <f t="shared" si="14"/>
        <v>13087.500000000002</v>
      </c>
      <c r="M36" s="14"/>
      <c r="N36" s="14"/>
    </row>
    <row r="37" ht="14.25">
      <c r="A37" s="14">
        <v>35</v>
      </c>
      <c r="B37" s="14" t="str">
        <f t="shared" si="8"/>
        <v>Empl_35</v>
      </c>
      <c r="C37" s="14" t="s">
        <v>11</v>
      </c>
      <c r="D37" s="14">
        <v>24000</v>
      </c>
      <c r="E37" s="14">
        <f t="shared" ca="1" si="1"/>
        <v>30</v>
      </c>
      <c r="F37" s="14">
        <v>30</v>
      </c>
      <c r="G37" s="14">
        <f t="shared" si="9"/>
        <v>0</v>
      </c>
      <c r="H37" s="15">
        <f t="shared" si="10"/>
        <v>800</v>
      </c>
      <c r="I37" s="15">
        <f t="shared" si="11"/>
        <v>24000</v>
      </c>
      <c r="J37" s="14">
        <f t="shared" si="12"/>
        <v>2880</v>
      </c>
      <c r="K37" s="15">
        <f t="shared" si="13"/>
        <v>180</v>
      </c>
      <c r="L37" s="15">
        <f t="shared" si="14"/>
        <v>20940</v>
      </c>
      <c r="M37" s="14"/>
      <c r="N37" s="14"/>
    </row>
    <row r="38" ht="14.25">
      <c r="A38" s="14">
        <v>36</v>
      </c>
      <c r="B38" s="14" t="str">
        <f t="shared" si="8"/>
        <v>Empl_36</v>
      </c>
      <c r="C38" s="14" t="s">
        <v>8</v>
      </c>
      <c r="D38" s="14">
        <v>55000</v>
      </c>
      <c r="E38" s="14">
        <f t="shared" ca="1" si="1"/>
        <v>30</v>
      </c>
      <c r="F38" s="14">
        <v>20</v>
      </c>
      <c r="G38" s="14">
        <f t="shared" si="9"/>
        <v>10</v>
      </c>
      <c r="H38" s="15">
        <f t="shared" si="10"/>
        <v>2750</v>
      </c>
      <c r="I38" s="15">
        <f t="shared" si="11"/>
        <v>55000</v>
      </c>
      <c r="J38" s="14">
        <f t="shared" si="12"/>
        <v>6600</v>
      </c>
      <c r="K38" s="15">
        <f t="shared" si="13"/>
        <v>412.5</v>
      </c>
      <c r="L38" s="15">
        <f t="shared" si="14"/>
        <v>47987.5</v>
      </c>
      <c r="M38" s="14"/>
      <c r="N38" s="14"/>
    </row>
    <row r="39" ht="14.25">
      <c r="A39" s="14">
        <v>37</v>
      </c>
      <c r="B39" s="14" t="str">
        <f t="shared" si="8"/>
        <v>Empl_37</v>
      </c>
      <c r="C39" s="14" t="s">
        <v>12</v>
      </c>
      <c r="D39" s="14">
        <v>16000</v>
      </c>
      <c r="E39" s="14">
        <f t="shared" ca="1" si="1"/>
        <v>30</v>
      </c>
      <c r="F39" s="14">
        <v>25</v>
      </c>
      <c r="G39" s="14">
        <f t="shared" si="9"/>
        <v>5</v>
      </c>
      <c r="H39" s="15">
        <f t="shared" si="10"/>
        <v>640</v>
      </c>
      <c r="I39" s="15">
        <f t="shared" si="11"/>
        <v>16000</v>
      </c>
      <c r="J39" s="14">
        <f t="shared" si="12"/>
        <v>1920</v>
      </c>
      <c r="K39" s="15">
        <f t="shared" si="13"/>
        <v>120</v>
      </c>
      <c r="L39" s="15">
        <f t="shared" si="14"/>
        <v>13960</v>
      </c>
      <c r="M39" s="14"/>
      <c r="N39" s="14"/>
    </row>
    <row r="40" ht="14.25">
      <c r="A40" s="14">
        <v>38</v>
      </c>
      <c r="B40" s="14" t="str">
        <f t="shared" si="8"/>
        <v>Empl_38</v>
      </c>
      <c r="C40" s="14" t="s">
        <v>10</v>
      </c>
      <c r="D40" s="14">
        <v>22000</v>
      </c>
      <c r="E40" s="14">
        <f t="shared" ca="1" si="1"/>
        <v>30</v>
      </c>
      <c r="F40" s="14">
        <v>21</v>
      </c>
      <c r="G40" s="14">
        <f t="shared" si="9"/>
        <v>9</v>
      </c>
      <c r="H40" s="15">
        <f t="shared" si="10"/>
        <v>1047.6190476190477</v>
      </c>
      <c r="I40" s="15">
        <f t="shared" si="11"/>
        <v>22000</v>
      </c>
      <c r="J40" s="14">
        <f t="shared" si="12"/>
        <v>2640</v>
      </c>
      <c r="K40" s="15">
        <f t="shared" si="13"/>
        <v>165</v>
      </c>
      <c r="L40" s="15">
        <f t="shared" si="14"/>
        <v>19195</v>
      </c>
      <c r="M40" s="14"/>
      <c r="N40" s="14"/>
    </row>
    <row r="41" ht="14.25">
      <c r="A41" s="14">
        <v>39</v>
      </c>
      <c r="B41" s="14" t="str">
        <f t="shared" si="8"/>
        <v>Empl_39</v>
      </c>
      <c r="C41" s="14" t="s">
        <v>13</v>
      </c>
      <c r="D41" s="14">
        <v>32000</v>
      </c>
      <c r="E41" s="14">
        <f t="shared" ca="1" si="1"/>
        <v>30</v>
      </c>
      <c r="F41" s="14">
        <v>23</v>
      </c>
      <c r="G41" s="14">
        <f t="shared" si="9"/>
        <v>7</v>
      </c>
      <c r="H41" s="15">
        <f t="shared" si="10"/>
        <v>1391.304347826087</v>
      </c>
      <c r="I41" s="15">
        <f t="shared" si="11"/>
        <v>32000</v>
      </c>
      <c r="J41" s="14">
        <f t="shared" si="12"/>
        <v>3840</v>
      </c>
      <c r="K41" s="15">
        <f t="shared" si="13"/>
        <v>240</v>
      </c>
      <c r="L41" s="15">
        <f t="shared" si="14"/>
        <v>27920</v>
      </c>
      <c r="M41" s="14"/>
      <c r="N41" s="14"/>
    </row>
    <row r="42" ht="14.25">
      <c r="A42" s="14">
        <v>40</v>
      </c>
      <c r="B42" s="14" t="str">
        <f t="shared" si="8"/>
        <v>Empl_40</v>
      </c>
      <c r="C42" s="14" t="s">
        <v>9</v>
      </c>
      <c r="D42" s="14">
        <v>22000</v>
      </c>
      <c r="E42" s="14">
        <f t="shared" ca="1" si="1"/>
        <v>30</v>
      </c>
      <c r="F42" s="14">
        <v>20</v>
      </c>
      <c r="G42" s="14">
        <f t="shared" si="9"/>
        <v>10</v>
      </c>
      <c r="H42" s="15">
        <f t="shared" si="10"/>
        <v>1100</v>
      </c>
      <c r="I42" s="15">
        <f t="shared" si="11"/>
        <v>22000</v>
      </c>
      <c r="J42" s="14">
        <f t="shared" si="12"/>
        <v>2640</v>
      </c>
      <c r="K42" s="15">
        <f t="shared" si="13"/>
        <v>165</v>
      </c>
      <c r="L42" s="15">
        <f t="shared" si="14"/>
        <v>19195</v>
      </c>
      <c r="M42" s="14"/>
      <c r="N42" s="14"/>
    </row>
    <row r="43" ht="14.25">
      <c r="A43" s="14">
        <v>41</v>
      </c>
      <c r="B43" s="14" t="str">
        <f t="shared" si="8"/>
        <v>Empl_41</v>
      </c>
      <c r="C43" s="14" t="s">
        <v>11</v>
      </c>
      <c r="D43" s="14">
        <v>19000</v>
      </c>
      <c r="E43" s="14">
        <f t="shared" ca="1" si="1"/>
        <v>30</v>
      </c>
      <c r="F43" s="14">
        <v>30</v>
      </c>
      <c r="G43" s="14">
        <f t="shared" si="9"/>
        <v>0</v>
      </c>
      <c r="H43" s="15">
        <f t="shared" si="10"/>
        <v>633.33333333333337</v>
      </c>
      <c r="I43" s="15">
        <f t="shared" si="11"/>
        <v>19000</v>
      </c>
      <c r="J43" s="14">
        <f t="shared" si="12"/>
        <v>2280</v>
      </c>
      <c r="K43" s="15">
        <f t="shared" si="13"/>
        <v>142.5</v>
      </c>
      <c r="L43" s="15">
        <f t="shared" si="14"/>
        <v>16577.5</v>
      </c>
      <c r="M43" s="14"/>
      <c r="N43" s="14"/>
    </row>
    <row r="44" ht="14.25">
      <c r="A44" s="14">
        <v>42</v>
      </c>
      <c r="B44" s="14" t="str">
        <f t="shared" si="8"/>
        <v>Empl_42</v>
      </c>
      <c r="C44" s="14" t="s">
        <v>8</v>
      </c>
      <c r="D44" s="14">
        <v>16000</v>
      </c>
      <c r="E44" s="14">
        <f t="shared" ca="1" si="1"/>
        <v>30</v>
      </c>
      <c r="F44" s="14">
        <v>27</v>
      </c>
      <c r="G44" s="14">
        <f t="shared" si="9"/>
        <v>3</v>
      </c>
      <c r="H44" s="15">
        <f t="shared" si="10"/>
        <v>592.59259259259261</v>
      </c>
      <c r="I44" s="15">
        <f t="shared" si="11"/>
        <v>16000</v>
      </c>
      <c r="J44" s="14">
        <f t="shared" si="12"/>
        <v>1920</v>
      </c>
      <c r="K44" s="15">
        <f t="shared" si="13"/>
        <v>120</v>
      </c>
      <c r="L44" s="15">
        <f t="shared" si="14"/>
        <v>13960</v>
      </c>
      <c r="M44" s="14"/>
      <c r="N44" s="14"/>
    </row>
    <row r="45" ht="14.25">
      <c r="A45" s="14">
        <v>43</v>
      </c>
      <c r="B45" s="14" t="str">
        <f t="shared" si="8"/>
        <v>Empl_43</v>
      </c>
      <c r="C45" s="14" t="s">
        <v>12</v>
      </c>
      <c r="D45" s="14">
        <v>15000</v>
      </c>
      <c r="E45" s="14">
        <f t="shared" ca="1" si="1"/>
        <v>30</v>
      </c>
      <c r="F45" s="14">
        <v>29</v>
      </c>
      <c r="G45" s="14">
        <f t="shared" si="9"/>
        <v>1</v>
      </c>
      <c r="H45" s="15">
        <f t="shared" si="10"/>
        <v>517.24137931034488</v>
      </c>
      <c r="I45" s="15">
        <f t="shared" si="11"/>
        <v>15000.000000000002</v>
      </c>
      <c r="J45" s="14">
        <f t="shared" si="12"/>
        <v>1800.0000000000002</v>
      </c>
      <c r="K45" s="15">
        <f t="shared" si="13"/>
        <v>112.50000000000001</v>
      </c>
      <c r="L45" s="15">
        <f t="shared" si="14"/>
        <v>13087.500000000002</v>
      </c>
      <c r="M45" s="14"/>
      <c r="N45" s="14"/>
    </row>
    <row r="46" ht="14.25">
      <c r="A46" s="14">
        <v>44</v>
      </c>
      <c r="B46" s="14" t="str">
        <f t="shared" si="8"/>
        <v>Empl_44</v>
      </c>
      <c r="C46" s="14" t="s">
        <v>10</v>
      </c>
      <c r="D46" s="14">
        <v>47000</v>
      </c>
      <c r="E46" s="14">
        <f t="shared" ca="1" si="1"/>
        <v>30</v>
      </c>
      <c r="F46" s="14">
        <v>22</v>
      </c>
      <c r="G46" s="14">
        <f t="shared" si="9"/>
        <v>8</v>
      </c>
      <c r="H46" s="15">
        <f t="shared" si="10"/>
        <v>2136.3636363636365</v>
      </c>
      <c r="I46" s="15">
        <f t="shared" si="11"/>
        <v>47000</v>
      </c>
      <c r="J46" s="14">
        <f t="shared" si="12"/>
        <v>5640</v>
      </c>
      <c r="K46" s="15">
        <f t="shared" si="13"/>
        <v>352.5</v>
      </c>
      <c r="L46" s="15">
        <f t="shared" si="14"/>
        <v>41007.5</v>
      </c>
      <c r="M46" s="14"/>
      <c r="N46" s="14"/>
    </row>
    <row r="47" ht="14.25">
      <c r="A47" s="14">
        <v>45</v>
      </c>
      <c r="B47" s="14" t="str">
        <f t="shared" si="8"/>
        <v>Empl_45</v>
      </c>
      <c r="C47" s="14" t="s">
        <v>13</v>
      </c>
      <c r="D47" s="14">
        <v>18000</v>
      </c>
      <c r="E47" s="14">
        <f t="shared" ca="1" si="1"/>
        <v>30</v>
      </c>
      <c r="F47" s="14">
        <v>24</v>
      </c>
      <c r="G47" s="14">
        <f t="shared" si="9"/>
        <v>6</v>
      </c>
      <c r="H47" s="15">
        <f t="shared" si="10"/>
        <v>750</v>
      </c>
      <c r="I47" s="15">
        <f t="shared" si="11"/>
        <v>18000</v>
      </c>
      <c r="J47" s="14">
        <f t="shared" si="12"/>
        <v>2160</v>
      </c>
      <c r="K47" s="15">
        <f t="shared" si="13"/>
        <v>135</v>
      </c>
      <c r="L47" s="15">
        <f t="shared" si="14"/>
        <v>15705</v>
      </c>
      <c r="M47" s="14"/>
      <c r="N47" s="14"/>
    </row>
    <row r="48" ht="14.25">
      <c r="A48" s="14">
        <v>46</v>
      </c>
      <c r="B48" s="14" t="str">
        <f t="shared" si="8"/>
        <v>Empl_46</v>
      </c>
      <c r="C48" s="14" t="s">
        <v>9</v>
      </c>
      <c r="D48" s="14">
        <v>20000</v>
      </c>
      <c r="E48" s="14">
        <f t="shared" ca="1" si="1"/>
        <v>30</v>
      </c>
      <c r="F48" s="14">
        <v>21</v>
      </c>
      <c r="G48" s="14">
        <f t="shared" si="9"/>
        <v>9</v>
      </c>
      <c r="H48" s="15">
        <f t="shared" si="10"/>
        <v>952.38095238095241</v>
      </c>
      <c r="I48" s="15">
        <f t="shared" si="11"/>
        <v>20000</v>
      </c>
      <c r="J48" s="14">
        <f t="shared" si="12"/>
        <v>2400</v>
      </c>
      <c r="K48" s="15">
        <f t="shared" si="13"/>
        <v>150</v>
      </c>
      <c r="L48" s="15">
        <f t="shared" si="14"/>
        <v>17450</v>
      </c>
      <c r="M48" s="14"/>
      <c r="N48" s="14"/>
    </row>
    <row r="49" ht="14.25">
      <c r="A49" s="14">
        <v>47</v>
      </c>
      <c r="B49" s="14" t="str">
        <f t="shared" si="8"/>
        <v>Empl_47</v>
      </c>
      <c r="C49" s="14" t="s">
        <v>11</v>
      </c>
      <c r="D49" s="14">
        <v>51000</v>
      </c>
      <c r="E49" s="14">
        <f t="shared" ca="1" si="1"/>
        <v>30</v>
      </c>
      <c r="F49" s="14">
        <v>24</v>
      </c>
      <c r="G49" s="14">
        <f t="shared" si="9"/>
        <v>6</v>
      </c>
      <c r="H49" s="15">
        <f t="shared" si="10"/>
        <v>2125</v>
      </c>
      <c r="I49" s="15">
        <f t="shared" si="11"/>
        <v>51000</v>
      </c>
      <c r="J49" s="14">
        <f t="shared" si="12"/>
        <v>6120</v>
      </c>
      <c r="K49" s="15">
        <f t="shared" si="13"/>
        <v>382.5</v>
      </c>
      <c r="L49" s="15">
        <f t="shared" si="14"/>
        <v>44497.5</v>
      </c>
      <c r="M49" s="14"/>
      <c r="N49" s="14"/>
    </row>
    <row r="50" ht="14.25">
      <c r="A50" s="14">
        <v>48</v>
      </c>
      <c r="B50" s="14" t="str">
        <f t="shared" si="8"/>
        <v>Empl_48</v>
      </c>
      <c r="C50" s="14" t="s">
        <v>8</v>
      </c>
      <c r="D50" s="14">
        <v>46000</v>
      </c>
      <c r="E50" s="14">
        <f t="shared" ca="1" si="1"/>
        <v>30</v>
      </c>
      <c r="F50" s="14">
        <v>22</v>
      </c>
      <c r="G50" s="14">
        <f t="shared" si="9"/>
        <v>8</v>
      </c>
      <c r="H50" s="15">
        <f t="shared" si="10"/>
        <v>2090.909090909091</v>
      </c>
      <c r="I50" s="15">
        <f t="shared" si="11"/>
        <v>46000</v>
      </c>
      <c r="J50" s="14">
        <f t="shared" si="12"/>
        <v>5520</v>
      </c>
      <c r="K50" s="15">
        <f t="shared" si="13"/>
        <v>345</v>
      </c>
      <c r="L50" s="15">
        <f t="shared" si="14"/>
        <v>40135</v>
      </c>
      <c r="M50" s="14"/>
      <c r="N50" s="14"/>
    </row>
    <row r="51" ht="14.25">
      <c r="A51" s="14">
        <v>49</v>
      </c>
      <c r="B51" s="14" t="str">
        <f t="shared" si="8"/>
        <v>Empl_49</v>
      </c>
      <c r="C51" s="14" t="s">
        <v>12</v>
      </c>
      <c r="D51" s="14">
        <v>58000</v>
      </c>
      <c r="E51" s="14">
        <f t="shared" ca="1" si="1"/>
        <v>30</v>
      </c>
      <c r="F51" s="14">
        <v>21</v>
      </c>
      <c r="G51" s="14">
        <f t="shared" si="9"/>
        <v>9</v>
      </c>
      <c r="H51" s="15">
        <f t="shared" si="10"/>
        <v>2761.9047619047619</v>
      </c>
      <c r="I51" s="15">
        <f t="shared" si="11"/>
        <v>58000</v>
      </c>
      <c r="J51" s="14">
        <f t="shared" si="12"/>
        <v>6960</v>
      </c>
      <c r="K51" s="15">
        <f t="shared" si="13"/>
        <v>435</v>
      </c>
      <c r="L51" s="15">
        <f t="shared" si="14"/>
        <v>50605</v>
      </c>
      <c r="M51" s="14"/>
      <c r="N51" s="14"/>
    </row>
    <row r="52" ht="14.25">
      <c r="A52" s="14">
        <v>50</v>
      </c>
      <c r="B52" s="14" t="str">
        <f t="shared" si="8"/>
        <v>Empl_50</v>
      </c>
      <c r="C52" s="14" t="s">
        <v>10</v>
      </c>
      <c r="D52" s="14">
        <v>50000</v>
      </c>
      <c r="E52" s="14">
        <f t="shared" ca="1" si="1"/>
        <v>30</v>
      </c>
      <c r="F52" s="14">
        <v>23</v>
      </c>
      <c r="G52" s="14">
        <f t="shared" si="9"/>
        <v>7</v>
      </c>
      <c r="H52" s="15">
        <f t="shared" si="10"/>
        <v>2173.913043478261</v>
      </c>
      <c r="I52" s="15">
        <f t="shared" si="11"/>
        <v>50000</v>
      </c>
      <c r="J52" s="14">
        <f t="shared" si="12"/>
        <v>6000</v>
      </c>
      <c r="K52" s="15">
        <f t="shared" si="13"/>
        <v>375</v>
      </c>
      <c r="L52" s="15">
        <f t="shared" si="14"/>
        <v>43625</v>
      </c>
      <c r="M52" s="14"/>
      <c r="N52" s="14"/>
    </row>
    <row r="53" ht="14.25">
      <c r="A53" s="14">
        <v>51</v>
      </c>
      <c r="B53" s="14" t="str">
        <f t="shared" si="8"/>
        <v>Empl_51</v>
      </c>
      <c r="C53" s="14" t="s">
        <v>13</v>
      </c>
      <c r="D53" s="14">
        <v>59000</v>
      </c>
      <c r="E53" s="14">
        <f t="shared" ca="1" si="1"/>
        <v>30</v>
      </c>
      <c r="F53" s="14">
        <v>30</v>
      </c>
      <c r="G53" s="14">
        <f t="shared" si="9"/>
        <v>0</v>
      </c>
      <c r="H53" s="15">
        <f t="shared" si="10"/>
        <v>1966.6666666666667</v>
      </c>
      <c r="I53" s="15">
        <f t="shared" si="11"/>
        <v>59000</v>
      </c>
      <c r="J53" s="14">
        <f t="shared" si="12"/>
        <v>7080</v>
      </c>
      <c r="K53" s="15">
        <f t="shared" si="13"/>
        <v>442.5</v>
      </c>
      <c r="L53" s="15">
        <f t="shared" si="14"/>
        <v>51477.5</v>
      </c>
      <c r="M53" s="14"/>
      <c r="N53" s="14"/>
    </row>
    <row r="54" ht="14.25">
      <c r="A54" s="14">
        <v>52</v>
      </c>
      <c r="B54" s="14" t="str">
        <f t="shared" si="8"/>
        <v>Empl_52</v>
      </c>
      <c r="C54" s="14" t="s">
        <v>9</v>
      </c>
      <c r="D54" s="14">
        <v>45000</v>
      </c>
      <c r="E54" s="14">
        <f t="shared" ca="1" si="1"/>
        <v>30</v>
      </c>
      <c r="F54" s="14">
        <v>28</v>
      </c>
      <c r="G54" s="14">
        <f t="shared" si="9"/>
        <v>2</v>
      </c>
      <c r="H54" s="15">
        <f t="shared" si="10"/>
        <v>1607.1428571428571</v>
      </c>
      <c r="I54" s="15">
        <f t="shared" si="11"/>
        <v>45000</v>
      </c>
      <c r="J54" s="14">
        <f t="shared" si="12"/>
        <v>5400</v>
      </c>
      <c r="K54" s="15">
        <f t="shared" si="13"/>
        <v>337.5</v>
      </c>
      <c r="L54" s="15">
        <f t="shared" si="14"/>
        <v>39262.5</v>
      </c>
      <c r="M54" s="14"/>
      <c r="N54" s="14"/>
    </row>
    <row r="55" ht="14.25">
      <c r="A55" s="14">
        <v>53</v>
      </c>
      <c r="B55" s="14" t="str">
        <f t="shared" si="8"/>
        <v>Empl_53</v>
      </c>
      <c r="C55" s="14" t="s">
        <v>11</v>
      </c>
      <c r="D55" s="14">
        <v>49000</v>
      </c>
      <c r="E55" s="14">
        <f t="shared" ca="1" si="1"/>
        <v>30</v>
      </c>
      <c r="F55" s="14">
        <v>24</v>
      </c>
      <c r="G55" s="14">
        <f t="shared" si="9"/>
        <v>6</v>
      </c>
      <c r="H55" s="15">
        <f t="shared" si="10"/>
        <v>2041.6666666666667</v>
      </c>
      <c r="I55" s="15">
        <f t="shared" si="11"/>
        <v>49000</v>
      </c>
      <c r="J55" s="14">
        <f t="shared" si="12"/>
        <v>5880</v>
      </c>
      <c r="K55" s="15">
        <f t="shared" si="13"/>
        <v>367.5</v>
      </c>
      <c r="L55" s="15">
        <f t="shared" si="14"/>
        <v>42752.5</v>
      </c>
      <c r="M55" s="14"/>
      <c r="N55" s="14"/>
    </row>
    <row r="56" ht="14.25">
      <c r="A56" s="14">
        <v>54</v>
      </c>
      <c r="B56" s="14" t="str">
        <f t="shared" si="8"/>
        <v>Empl_54</v>
      </c>
      <c r="C56" s="14" t="s">
        <v>8</v>
      </c>
      <c r="D56" s="14">
        <v>16000</v>
      </c>
      <c r="E56" s="14">
        <f t="shared" ca="1" si="1"/>
        <v>30</v>
      </c>
      <c r="F56" s="14">
        <v>22</v>
      </c>
      <c r="G56" s="14">
        <f t="shared" si="9"/>
        <v>8</v>
      </c>
      <c r="H56" s="15">
        <f t="shared" si="10"/>
        <v>727.27272727272725</v>
      </c>
      <c r="I56" s="15">
        <f t="shared" si="11"/>
        <v>16000</v>
      </c>
      <c r="J56" s="14">
        <f t="shared" si="12"/>
        <v>1920</v>
      </c>
      <c r="K56" s="15">
        <f t="shared" si="13"/>
        <v>120</v>
      </c>
      <c r="L56" s="15">
        <f t="shared" si="14"/>
        <v>13960</v>
      </c>
      <c r="M56" s="14"/>
      <c r="N56" s="14"/>
    </row>
    <row r="57" ht="14.25">
      <c r="A57" s="14">
        <v>55</v>
      </c>
      <c r="B57" s="14" t="str">
        <f t="shared" si="8"/>
        <v>Empl_55</v>
      </c>
      <c r="C57" s="14" t="s">
        <v>12</v>
      </c>
      <c r="D57" s="14">
        <v>42000</v>
      </c>
      <c r="E57" s="14">
        <f t="shared" ca="1" si="1"/>
        <v>30</v>
      </c>
      <c r="F57" s="14">
        <v>22</v>
      </c>
      <c r="G57" s="14">
        <f t="shared" si="9"/>
        <v>8</v>
      </c>
      <c r="H57" s="15">
        <f t="shared" si="10"/>
        <v>1909.090909090909</v>
      </c>
      <c r="I57" s="15">
        <f t="shared" si="11"/>
        <v>42000</v>
      </c>
      <c r="J57" s="14">
        <f t="shared" si="12"/>
        <v>5040</v>
      </c>
      <c r="K57" s="15">
        <f t="shared" si="13"/>
        <v>315</v>
      </c>
      <c r="L57" s="15">
        <f t="shared" si="14"/>
        <v>36645</v>
      </c>
      <c r="M57" s="14"/>
      <c r="N57" s="14"/>
    </row>
    <row r="58" ht="14.25">
      <c r="A58" s="14">
        <v>56</v>
      </c>
      <c r="B58" s="14" t="str">
        <f t="shared" si="8"/>
        <v>Empl_56</v>
      </c>
      <c r="C58" s="14" t="s">
        <v>10</v>
      </c>
      <c r="D58" s="14">
        <v>60000</v>
      </c>
      <c r="E58" s="14">
        <f t="shared" ca="1" si="1"/>
        <v>30</v>
      </c>
      <c r="F58" s="14">
        <v>26</v>
      </c>
      <c r="G58" s="14">
        <f t="shared" si="9"/>
        <v>4</v>
      </c>
      <c r="H58" s="15">
        <f t="shared" si="10"/>
        <v>2307.6923076923076</v>
      </c>
      <c r="I58" s="15">
        <f t="shared" si="11"/>
        <v>60000</v>
      </c>
      <c r="J58" s="14">
        <f t="shared" si="12"/>
        <v>7200</v>
      </c>
      <c r="K58" s="15">
        <f t="shared" si="13"/>
        <v>450</v>
      </c>
      <c r="L58" s="15">
        <f t="shared" si="14"/>
        <v>52350</v>
      </c>
      <c r="M58" s="14"/>
      <c r="N58" s="14"/>
    </row>
    <row r="59" ht="14.25">
      <c r="A59" s="14">
        <v>57</v>
      </c>
      <c r="B59" s="14" t="str">
        <f t="shared" si="8"/>
        <v>Empl_57</v>
      </c>
      <c r="C59" s="14" t="s">
        <v>13</v>
      </c>
      <c r="D59" s="14">
        <v>20000</v>
      </c>
      <c r="E59" s="14">
        <f t="shared" ca="1" si="1"/>
        <v>30</v>
      </c>
      <c r="F59" s="14">
        <v>24</v>
      </c>
      <c r="G59" s="14">
        <f t="shared" si="9"/>
        <v>6</v>
      </c>
      <c r="H59" s="15">
        <f t="shared" si="10"/>
        <v>833.33333333333337</v>
      </c>
      <c r="I59" s="15">
        <f t="shared" si="11"/>
        <v>20000</v>
      </c>
      <c r="J59" s="14">
        <f t="shared" si="12"/>
        <v>2400</v>
      </c>
      <c r="K59" s="15">
        <f t="shared" si="13"/>
        <v>150</v>
      </c>
      <c r="L59" s="15">
        <f t="shared" si="14"/>
        <v>17450</v>
      </c>
      <c r="M59" s="14"/>
      <c r="N59" s="14"/>
    </row>
    <row r="60" ht="14.25">
      <c r="A60" s="14">
        <v>58</v>
      </c>
      <c r="B60" s="14" t="str">
        <f t="shared" si="8"/>
        <v>Empl_58</v>
      </c>
      <c r="C60" s="14" t="s">
        <v>9</v>
      </c>
      <c r="D60" s="14">
        <v>42000</v>
      </c>
      <c r="E60" s="14">
        <f t="shared" ca="1" si="1"/>
        <v>30</v>
      </c>
      <c r="F60" s="14">
        <v>25</v>
      </c>
      <c r="G60" s="14">
        <f t="shared" si="9"/>
        <v>5</v>
      </c>
      <c r="H60" s="15">
        <f t="shared" si="10"/>
        <v>1680</v>
      </c>
      <c r="I60" s="15">
        <f t="shared" si="11"/>
        <v>42000</v>
      </c>
      <c r="J60" s="14">
        <f t="shared" si="12"/>
        <v>5040</v>
      </c>
      <c r="K60" s="15">
        <f t="shared" si="13"/>
        <v>315</v>
      </c>
      <c r="L60" s="15">
        <f t="shared" si="14"/>
        <v>36645</v>
      </c>
      <c r="M60" s="14"/>
      <c r="N60" s="14"/>
    </row>
    <row r="61" ht="14.25">
      <c r="A61" s="14">
        <v>59</v>
      </c>
      <c r="B61" s="14" t="str">
        <f t="shared" si="8"/>
        <v>Empl_59</v>
      </c>
      <c r="C61" s="14" t="s">
        <v>11</v>
      </c>
      <c r="D61" s="14">
        <v>42000</v>
      </c>
      <c r="E61" s="14">
        <f t="shared" ca="1" si="1"/>
        <v>30</v>
      </c>
      <c r="F61" s="14">
        <v>27</v>
      </c>
      <c r="G61" s="14">
        <f t="shared" si="9"/>
        <v>3</v>
      </c>
      <c r="H61" s="15">
        <f t="shared" si="10"/>
        <v>1555.5555555555557</v>
      </c>
      <c r="I61" s="15">
        <f t="shared" si="11"/>
        <v>42000</v>
      </c>
      <c r="J61" s="14">
        <f t="shared" si="12"/>
        <v>5040</v>
      </c>
      <c r="K61" s="15">
        <f t="shared" si="13"/>
        <v>315</v>
      </c>
      <c r="L61" s="15">
        <f t="shared" si="14"/>
        <v>36645</v>
      </c>
      <c r="M61" s="14"/>
      <c r="N61" s="14"/>
    </row>
    <row r="62" ht="14.25">
      <c r="A62" s="14">
        <v>60</v>
      </c>
      <c r="B62" s="14" t="str">
        <f t="shared" si="8"/>
        <v>Empl_60</v>
      </c>
      <c r="C62" s="14" t="s">
        <v>8</v>
      </c>
      <c r="D62" s="14">
        <v>40000</v>
      </c>
      <c r="E62" s="14">
        <f t="shared" ca="1" si="1"/>
        <v>30</v>
      </c>
      <c r="F62" s="14">
        <v>22</v>
      </c>
      <c r="G62" s="14">
        <f t="shared" si="9"/>
        <v>8</v>
      </c>
      <c r="H62" s="15">
        <f t="shared" si="10"/>
        <v>1818.1818181818182</v>
      </c>
      <c r="I62" s="15">
        <f t="shared" si="11"/>
        <v>40000</v>
      </c>
      <c r="J62" s="14">
        <f t="shared" si="12"/>
        <v>4800</v>
      </c>
      <c r="K62" s="15">
        <f t="shared" si="13"/>
        <v>300</v>
      </c>
      <c r="L62" s="15">
        <f t="shared" si="14"/>
        <v>34900</v>
      </c>
      <c r="M62" s="14"/>
      <c r="N62" s="14"/>
    </row>
    <row r="63" ht="14.25">
      <c r="A63" s="14">
        <v>61</v>
      </c>
      <c r="B63" s="14" t="str">
        <f t="shared" si="8"/>
        <v>Empl_61</v>
      </c>
      <c r="C63" s="14" t="s">
        <v>12</v>
      </c>
      <c r="D63" s="14">
        <v>60000</v>
      </c>
      <c r="E63" s="14">
        <f t="shared" ca="1" si="1"/>
        <v>30</v>
      </c>
      <c r="F63" s="14">
        <v>22</v>
      </c>
      <c r="G63" s="14">
        <f t="shared" si="9"/>
        <v>8</v>
      </c>
      <c r="H63" s="15">
        <f t="shared" si="10"/>
        <v>2727.2727272727275</v>
      </c>
      <c r="I63" s="15">
        <f t="shared" si="11"/>
        <v>60000.000000000007</v>
      </c>
      <c r="J63" s="14">
        <f t="shared" si="12"/>
        <v>7200.0000000000009</v>
      </c>
      <c r="K63" s="15">
        <f t="shared" si="13"/>
        <v>450.00000000000006</v>
      </c>
      <c r="L63" s="15">
        <f t="shared" si="14"/>
        <v>52350.000000000007</v>
      </c>
      <c r="M63" s="14"/>
      <c r="N63" s="14"/>
    </row>
    <row r="64" ht="14.25">
      <c r="A64" s="14">
        <v>62</v>
      </c>
      <c r="B64" s="14" t="str">
        <f t="shared" si="8"/>
        <v>Empl_62</v>
      </c>
      <c r="C64" s="14" t="s">
        <v>10</v>
      </c>
      <c r="D64" s="14">
        <v>56000</v>
      </c>
      <c r="E64" s="14">
        <f t="shared" ca="1" si="1"/>
        <v>30</v>
      </c>
      <c r="F64" s="14">
        <v>22</v>
      </c>
      <c r="G64" s="14">
        <f t="shared" si="9"/>
        <v>8</v>
      </c>
      <c r="H64" s="15">
        <f t="shared" si="10"/>
        <v>2545.4545454545455</v>
      </c>
      <c r="I64" s="15">
        <f t="shared" si="11"/>
        <v>56000</v>
      </c>
      <c r="J64" s="14">
        <f t="shared" si="12"/>
        <v>6720</v>
      </c>
      <c r="K64" s="15">
        <f t="shared" si="13"/>
        <v>420</v>
      </c>
      <c r="L64" s="15">
        <f t="shared" si="14"/>
        <v>48860</v>
      </c>
      <c r="M64" s="14"/>
      <c r="N64" s="14"/>
    </row>
    <row r="65" ht="14.25">
      <c r="A65" s="14">
        <v>63</v>
      </c>
      <c r="B65" s="14" t="str">
        <f t="shared" si="8"/>
        <v>Empl_63</v>
      </c>
      <c r="C65" s="14" t="s">
        <v>13</v>
      </c>
      <c r="D65" s="14">
        <v>31000</v>
      </c>
      <c r="E65" s="14">
        <f t="shared" ca="1" si="1"/>
        <v>30</v>
      </c>
      <c r="F65" s="14">
        <v>22</v>
      </c>
      <c r="G65" s="14">
        <f t="shared" si="9"/>
        <v>8</v>
      </c>
      <c r="H65" s="15">
        <f t="shared" si="10"/>
        <v>1409.090909090909</v>
      </c>
      <c r="I65" s="15">
        <f t="shared" si="11"/>
        <v>31000</v>
      </c>
      <c r="J65" s="14">
        <f t="shared" si="12"/>
        <v>3720</v>
      </c>
      <c r="K65" s="15">
        <f t="shared" si="13"/>
        <v>232.5</v>
      </c>
      <c r="L65" s="15">
        <f t="shared" si="14"/>
        <v>27047.5</v>
      </c>
      <c r="M65" s="14"/>
      <c r="N65" s="14"/>
    </row>
    <row r="66" ht="14.25">
      <c r="A66" s="14">
        <v>64</v>
      </c>
      <c r="B66" s="14" t="str">
        <f t="shared" si="8"/>
        <v>Empl_64</v>
      </c>
      <c r="C66" s="14" t="s">
        <v>9</v>
      </c>
      <c r="D66" s="14">
        <v>29000</v>
      </c>
      <c r="E66" s="14">
        <f t="shared" ca="1" si="1"/>
        <v>30</v>
      </c>
      <c r="F66" s="14">
        <v>23</v>
      </c>
      <c r="G66" s="14">
        <f t="shared" si="9"/>
        <v>7</v>
      </c>
      <c r="H66" s="15">
        <f t="shared" si="10"/>
        <v>1260.8695652173913</v>
      </c>
      <c r="I66" s="15">
        <f t="shared" si="11"/>
        <v>29000</v>
      </c>
      <c r="J66" s="14">
        <f t="shared" si="12"/>
        <v>3480</v>
      </c>
      <c r="K66" s="15">
        <f t="shared" si="13"/>
        <v>217.5</v>
      </c>
      <c r="L66" s="15">
        <f t="shared" si="14"/>
        <v>25302.5</v>
      </c>
      <c r="M66" s="14"/>
      <c r="N66" s="14"/>
    </row>
    <row r="67" ht="14.25">
      <c r="A67" s="14">
        <v>65</v>
      </c>
      <c r="B67" s="14" t="str">
        <f t="shared" si="8"/>
        <v>Empl_65</v>
      </c>
      <c r="C67" s="14" t="s">
        <v>11</v>
      </c>
      <c r="D67" s="14">
        <v>18000</v>
      </c>
      <c r="E67" s="14">
        <f t="shared" ref="E67:E130" ca="1" si="15">DAY(EOMONTH(TODAY(),0))</f>
        <v>30</v>
      </c>
      <c r="F67" s="14">
        <v>26</v>
      </c>
      <c r="G67" s="14">
        <f t="shared" si="9"/>
        <v>4</v>
      </c>
      <c r="H67" s="15">
        <f t="shared" si="10"/>
        <v>692.30769230769226</v>
      </c>
      <c r="I67" s="15">
        <f t="shared" si="11"/>
        <v>18000</v>
      </c>
      <c r="J67" s="14">
        <f t="shared" si="12"/>
        <v>2160</v>
      </c>
      <c r="K67" s="15">
        <f t="shared" si="13"/>
        <v>135</v>
      </c>
      <c r="L67" s="15">
        <f t="shared" si="14"/>
        <v>15705</v>
      </c>
      <c r="M67" s="14"/>
      <c r="N67" s="14"/>
    </row>
    <row r="68" ht="14.25">
      <c r="A68" s="14">
        <v>66</v>
      </c>
      <c r="B68" s="14" t="str">
        <f t="shared" si="8"/>
        <v>Empl_66</v>
      </c>
      <c r="C68" s="14" t="s">
        <v>8</v>
      </c>
      <c r="D68" s="14">
        <v>32000</v>
      </c>
      <c r="E68" s="14">
        <f t="shared" ca="1" si="15"/>
        <v>30</v>
      </c>
      <c r="F68" s="14">
        <v>28</v>
      </c>
      <c r="G68" s="14">
        <f t="shared" si="9"/>
        <v>2</v>
      </c>
      <c r="H68" s="15">
        <f t="shared" si="10"/>
        <v>1142.8571428571429</v>
      </c>
      <c r="I68" s="15">
        <f t="shared" si="11"/>
        <v>32000</v>
      </c>
      <c r="J68" s="14">
        <f t="shared" si="12"/>
        <v>3840</v>
      </c>
      <c r="K68" s="15">
        <f t="shared" si="13"/>
        <v>240</v>
      </c>
      <c r="L68" s="15">
        <f t="shared" si="14"/>
        <v>27920</v>
      </c>
      <c r="M68" s="14"/>
      <c r="N68" s="14"/>
    </row>
    <row r="69" ht="14.25">
      <c r="A69" s="14">
        <v>67</v>
      </c>
      <c r="B69" s="14" t="str">
        <f t="shared" si="8"/>
        <v>Empl_67</v>
      </c>
      <c r="C69" s="14" t="s">
        <v>12</v>
      </c>
      <c r="D69" s="14">
        <v>30000</v>
      </c>
      <c r="E69" s="14">
        <f t="shared" ca="1" si="15"/>
        <v>30</v>
      </c>
      <c r="F69" s="14">
        <v>20</v>
      </c>
      <c r="G69" s="14">
        <f t="shared" si="9"/>
        <v>10</v>
      </c>
      <c r="H69" s="15">
        <f t="shared" si="10"/>
        <v>1500</v>
      </c>
      <c r="I69" s="15">
        <f t="shared" si="11"/>
        <v>30000</v>
      </c>
      <c r="J69" s="14">
        <f t="shared" si="12"/>
        <v>3600</v>
      </c>
      <c r="K69" s="15">
        <f t="shared" si="13"/>
        <v>225</v>
      </c>
      <c r="L69" s="15">
        <f t="shared" si="14"/>
        <v>26175</v>
      </c>
      <c r="M69" s="14"/>
      <c r="N69" s="14"/>
    </row>
    <row r="70" ht="14.25">
      <c r="A70" s="14">
        <v>68</v>
      </c>
      <c r="B70" s="14" t="str">
        <f t="shared" si="8"/>
        <v>Empl_68</v>
      </c>
      <c r="C70" s="14" t="s">
        <v>10</v>
      </c>
      <c r="D70" s="14">
        <v>60000</v>
      </c>
      <c r="E70" s="14">
        <f t="shared" ca="1" si="15"/>
        <v>30</v>
      </c>
      <c r="F70" s="14">
        <v>25</v>
      </c>
      <c r="G70" s="14">
        <f t="shared" si="9"/>
        <v>5</v>
      </c>
      <c r="H70" s="15">
        <f t="shared" si="10"/>
        <v>2400</v>
      </c>
      <c r="I70" s="15">
        <f t="shared" si="11"/>
        <v>60000</v>
      </c>
      <c r="J70" s="14">
        <f t="shared" si="12"/>
        <v>7200</v>
      </c>
      <c r="K70" s="15">
        <f t="shared" si="13"/>
        <v>450</v>
      </c>
      <c r="L70" s="15">
        <f t="shared" si="14"/>
        <v>52350</v>
      </c>
      <c r="M70" s="14"/>
      <c r="N70" s="14"/>
    </row>
    <row r="71" ht="14.25">
      <c r="A71" s="14">
        <v>69</v>
      </c>
      <c r="B71" s="14" t="str">
        <f t="shared" si="8"/>
        <v>Empl_69</v>
      </c>
      <c r="C71" s="14" t="s">
        <v>13</v>
      </c>
      <c r="D71" s="14">
        <v>33000</v>
      </c>
      <c r="E71" s="14">
        <f t="shared" ca="1" si="15"/>
        <v>30</v>
      </c>
      <c r="F71" s="14">
        <v>29</v>
      </c>
      <c r="G71" s="14">
        <f t="shared" si="9"/>
        <v>1</v>
      </c>
      <c r="H71" s="15">
        <f t="shared" si="10"/>
        <v>1137.9310344827586</v>
      </c>
      <c r="I71" s="15">
        <f t="shared" si="11"/>
        <v>33000</v>
      </c>
      <c r="J71" s="14">
        <f t="shared" si="12"/>
        <v>3960</v>
      </c>
      <c r="K71" s="15">
        <f t="shared" si="13"/>
        <v>247.5</v>
      </c>
      <c r="L71" s="15">
        <f t="shared" si="14"/>
        <v>28792.5</v>
      </c>
      <c r="M71" s="14"/>
      <c r="N71" s="14"/>
    </row>
    <row r="72" ht="14.25">
      <c r="A72" s="14">
        <v>70</v>
      </c>
      <c r="B72" s="14" t="str">
        <f t="shared" si="8"/>
        <v>Empl_70</v>
      </c>
      <c r="C72" s="14" t="s">
        <v>9</v>
      </c>
      <c r="D72" s="14">
        <v>49000</v>
      </c>
      <c r="E72" s="14">
        <f t="shared" ca="1" si="15"/>
        <v>30</v>
      </c>
      <c r="F72" s="14">
        <v>22</v>
      </c>
      <c r="G72" s="14">
        <f t="shared" si="9"/>
        <v>8</v>
      </c>
      <c r="H72" s="15">
        <f t="shared" si="10"/>
        <v>2227.2727272727275</v>
      </c>
      <c r="I72" s="15">
        <f t="shared" si="11"/>
        <v>49000.000000000007</v>
      </c>
      <c r="J72" s="14">
        <f t="shared" si="12"/>
        <v>5880.0000000000009</v>
      </c>
      <c r="K72" s="15">
        <f t="shared" si="13"/>
        <v>367.50000000000006</v>
      </c>
      <c r="L72" s="15">
        <f t="shared" si="14"/>
        <v>42752.500000000007</v>
      </c>
      <c r="M72" s="14"/>
      <c r="N72" s="14"/>
    </row>
    <row r="73" ht="14.25">
      <c r="A73" s="14">
        <v>71</v>
      </c>
      <c r="B73" s="14" t="str">
        <f t="shared" si="8"/>
        <v>Empl_71</v>
      </c>
      <c r="C73" s="14" t="s">
        <v>11</v>
      </c>
      <c r="D73" s="14">
        <v>16000</v>
      </c>
      <c r="E73" s="14">
        <f t="shared" ca="1" si="15"/>
        <v>30</v>
      </c>
      <c r="F73" s="14">
        <v>29</v>
      </c>
      <c r="G73" s="14">
        <f t="shared" si="9"/>
        <v>1</v>
      </c>
      <c r="H73" s="15">
        <f t="shared" si="10"/>
        <v>551.72413793103453</v>
      </c>
      <c r="I73" s="15">
        <f t="shared" si="11"/>
        <v>16000.000000000002</v>
      </c>
      <c r="J73" s="14">
        <f t="shared" si="12"/>
        <v>1920.0000000000002</v>
      </c>
      <c r="K73" s="15">
        <f t="shared" si="13"/>
        <v>120.00000000000001</v>
      </c>
      <c r="L73" s="15">
        <f t="shared" si="14"/>
        <v>13960.000000000002</v>
      </c>
      <c r="M73" s="14"/>
      <c r="N73" s="14"/>
    </row>
    <row r="74" ht="14.25">
      <c r="A74" s="14">
        <v>72</v>
      </c>
      <c r="B74" s="14" t="str">
        <f t="shared" ref="B74:B99" si="16">"Empl_"&amp;A74</f>
        <v>Empl_72</v>
      </c>
      <c r="C74" s="14" t="s">
        <v>8</v>
      </c>
      <c r="D74" s="14">
        <v>16000</v>
      </c>
      <c r="E74" s="14">
        <f t="shared" ca="1" si="15"/>
        <v>30</v>
      </c>
      <c r="F74" s="14">
        <v>25</v>
      </c>
      <c r="G74" s="14">
        <f t="shared" ref="G74:G99" si="17">E74-F74</f>
        <v>5</v>
      </c>
      <c r="H74" s="15">
        <f t="shared" ref="H74:H99" si="18">D74/F74</f>
        <v>640</v>
      </c>
      <c r="I74" s="15">
        <f t="shared" ref="I74:I99" si="19">H74*F74</f>
        <v>16000</v>
      </c>
      <c r="J74" s="14">
        <f t="shared" ref="J74:J99" si="20">I74*12%</f>
        <v>1920</v>
      </c>
      <c r="K74" s="15">
        <f t="shared" ref="K74:K99" si="21">I74*0.75%</f>
        <v>120</v>
      </c>
      <c r="L74" s="15">
        <f t="shared" ref="L74:L99" si="22">I74-(J74+K74)</f>
        <v>13960</v>
      </c>
      <c r="M74" s="14"/>
      <c r="N74" s="14"/>
    </row>
    <row r="75" ht="14.25">
      <c r="A75" s="14">
        <v>73</v>
      </c>
      <c r="B75" s="14" t="str">
        <f t="shared" si="16"/>
        <v>Empl_73</v>
      </c>
      <c r="C75" s="14" t="s">
        <v>12</v>
      </c>
      <c r="D75" s="14">
        <v>22000</v>
      </c>
      <c r="E75" s="14">
        <f t="shared" ca="1" si="15"/>
        <v>30</v>
      </c>
      <c r="F75" s="14">
        <v>21</v>
      </c>
      <c r="G75" s="14">
        <f t="shared" si="17"/>
        <v>9</v>
      </c>
      <c r="H75" s="15">
        <f t="shared" si="18"/>
        <v>1047.6190476190477</v>
      </c>
      <c r="I75" s="15">
        <f t="shared" si="19"/>
        <v>22000</v>
      </c>
      <c r="J75" s="14">
        <f t="shared" si="20"/>
        <v>2640</v>
      </c>
      <c r="K75" s="15">
        <f t="shared" si="21"/>
        <v>165</v>
      </c>
      <c r="L75" s="15">
        <f t="shared" si="22"/>
        <v>19195</v>
      </c>
      <c r="M75" s="14"/>
      <c r="N75" s="14"/>
    </row>
    <row r="76" ht="14.25">
      <c r="A76" s="14">
        <v>74</v>
      </c>
      <c r="B76" s="14" t="str">
        <f t="shared" si="16"/>
        <v>Empl_74</v>
      </c>
      <c r="C76" s="14" t="s">
        <v>10</v>
      </c>
      <c r="D76" s="14">
        <v>17000</v>
      </c>
      <c r="E76" s="14">
        <f t="shared" ca="1" si="15"/>
        <v>30</v>
      </c>
      <c r="F76" s="14">
        <v>30</v>
      </c>
      <c r="G76" s="14">
        <f t="shared" si="17"/>
        <v>0</v>
      </c>
      <c r="H76" s="15">
        <f t="shared" si="18"/>
        <v>566.66666666666663</v>
      </c>
      <c r="I76" s="15">
        <f t="shared" si="19"/>
        <v>17000</v>
      </c>
      <c r="J76" s="14">
        <f t="shared" si="20"/>
        <v>2040</v>
      </c>
      <c r="K76" s="15">
        <f t="shared" si="21"/>
        <v>127.5</v>
      </c>
      <c r="L76" s="15">
        <f t="shared" si="22"/>
        <v>14832.5</v>
      </c>
      <c r="M76" s="14"/>
      <c r="N76" s="14"/>
    </row>
    <row r="77" ht="14.25">
      <c r="A77" s="14">
        <v>75</v>
      </c>
      <c r="B77" s="14" t="str">
        <f t="shared" si="16"/>
        <v>Empl_75</v>
      </c>
      <c r="C77" s="14" t="s">
        <v>13</v>
      </c>
      <c r="D77" s="14">
        <v>34000</v>
      </c>
      <c r="E77" s="14">
        <f t="shared" ca="1" si="15"/>
        <v>30</v>
      </c>
      <c r="F77" s="14">
        <v>27</v>
      </c>
      <c r="G77" s="14">
        <f t="shared" si="17"/>
        <v>3</v>
      </c>
      <c r="H77" s="15">
        <f t="shared" si="18"/>
        <v>1259.2592592592594</v>
      </c>
      <c r="I77" s="15">
        <f t="shared" si="19"/>
        <v>34000</v>
      </c>
      <c r="J77" s="14">
        <f t="shared" si="20"/>
        <v>4080</v>
      </c>
      <c r="K77" s="15">
        <f t="shared" si="21"/>
        <v>255</v>
      </c>
      <c r="L77" s="15">
        <f t="shared" si="22"/>
        <v>29665</v>
      </c>
      <c r="M77" s="14"/>
      <c r="N77" s="14"/>
    </row>
    <row r="78" ht="14.25">
      <c r="A78" s="14">
        <v>76</v>
      </c>
      <c r="B78" s="14" t="str">
        <f t="shared" si="16"/>
        <v>Empl_76</v>
      </c>
      <c r="C78" s="14" t="s">
        <v>9</v>
      </c>
      <c r="D78" s="14">
        <v>15000</v>
      </c>
      <c r="E78" s="14">
        <f t="shared" ca="1" si="15"/>
        <v>30</v>
      </c>
      <c r="F78" s="14">
        <v>30</v>
      </c>
      <c r="G78" s="14">
        <f t="shared" si="17"/>
        <v>0</v>
      </c>
      <c r="H78" s="15">
        <f t="shared" si="18"/>
        <v>500</v>
      </c>
      <c r="I78" s="15">
        <f t="shared" si="19"/>
        <v>15000</v>
      </c>
      <c r="J78" s="14">
        <f t="shared" si="20"/>
        <v>1800</v>
      </c>
      <c r="K78" s="15">
        <f t="shared" si="21"/>
        <v>112.5</v>
      </c>
      <c r="L78" s="15">
        <f t="shared" si="22"/>
        <v>13087.5</v>
      </c>
      <c r="M78" s="14"/>
      <c r="N78" s="14"/>
    </row>
    <row r="79" ht="14.25">
      <c r="A79" s="14">
        <v>77</v>
      </c>
      <c r="B79" s="14" t="str">
        <f t="shared" si="16"/>
        <v>Empl_77</v>
      </c>
      <c r="C79" s="14" t="s">
        <v>11</v>
      </c>
      <c r="D79" s="14">
        <v>46000</v>
      </c>
      <c r="E79" s="14">
        <f t="shared" ca="1" si="15"/>
        <v>30</v>
      </c>
      <c r="F79" s="14">
        <v>23</v>
      </c>
      <c r="G79" s="14">
        <f t="shared" si="17"/>
        <v>7</v>
      </c>
      <c r="H79" s="15">
        <f t="shared" si="18"/>
        <v>2000</v>
      </c>
      <c r="I79" s="15">
        <f t="shared" si="19"/>
        <v>46000</v>
      </c>
      <c r="J79" s="14">
        <f t="shared" si="20"/>
        <v>5520</v>
      </c>
      <c r="K79" s="15">
        <f t="shared" si="21"/>
        <v>345</v>
      </c>
      <c r="L79" s="15">
        <f t="shared" si="22"/>
        <v>40135</v>
      </c>
      <c r="M79" s="14"/>
      <c r="N79" s="14"/>
    </row>
    <row r="80" ht="14.25">
      <c r="A80" s="14">
        <v>78</v>
      </c>
      <c r="B80" s="14" t="str">
        <f t="shared" si="16"/>
        <v>Empl_78</v>
      </c>
      <c r="C80" s="14" t="s">
        <v>8</v>
      </c>
      <c r="D80" s="14">
        <v>43000</v>
      </c>
      <c r="E80" s="14">
        <f t="shared" ca="1" si="15"/>
        <v>30</v>
      </c>
      <c r="F80" s="14">
        <v>26</v>
      </c>
      <c r="G80" s="14">
        <f t="shared" si="17"/>
        <v>4</v>
      </c>
      <c r="H80" s="15">
        <f t="shared" si="18"/>
        <v>1653.8461538461538</v>
      </c>
      <c r="I80" s="15">
        <f t="shared" si="19"/>
        <v>43000</v>
      </c>
      <c r="J80" s="14">
        <f t="shared" si="20"/>
        <v>5160</v>
      </c>
      <c r="K80" s="15">
        <f t="shared" si="21"/>
        <v>322.5</v>
      </c>
      <c r="L80" s="15">
        <f t="shared" si="22"/>
        <v>37517.5</v>
      </c>
      <c r="M80" s="14"/>
      <c r="N80" s="14"/>
    </row>
    <row r="81" ht="14.25">
      <c r="A81" s="14">
        <v>79</v>
      </c>
      <c r="B81" s="14" t="str">
        <f t="shared" si="16"/>
        <v>Empl_79</v>
      </c>
      <c r="C81" s="14" t="s">
        <v>12</v>
      </c>
      <c r="D81" s="14">
        <v>29000</v>
      </c>
      <c r="E81" s="14">
        <f t="shared" ca="1" si="15"/>
        <v>30</v>
      </c>
      <c r="F81" s="14">
        <v>29</v>
      </c>
      <c r="G81" s="14">
        <f t="shared" si="17"/>
        <v>1</v>
      </c>
      <c r="H81" s="15">
        <f t="shared" si="18"/>
        <v>1000</v>
      </c>
      <c r="I81" s="15">
        <f t="shared" si="19"/>
        <v>29000</v>
      </c>
      <c r="J81" s="14">
        <f t="shared" si="20"/>
        <v>3480</v>
      </c>
      <c r="K81" s="15">
        <f t="shared" si="21"/>
        <v>217.5</v>
      </c>
      <c r="L81" s="15">
        <f t="shared" si="22"/>
        <v>25302.5</v>
      </c>
      <c r="M81" s="14"/>
      <c r="N81" s="14"/>
    </row>
    <row r="82" ht="14.25">
      <c r="A82" s="14">
        <v>80</v>
      </c>
      <c r="B82" s="14" t="str">
        <f t="shared" si="16"/>
        <v>Empl_80</v>
      </c>
      <c r="C82" s="14" t="s">
        <v>10</v>
      </c>
      <c r="D82" s="14">
        <v>26000</v>
      </c>
      <c r="E82" s="14">
        <f t="shared" ca="1" si="15"/>
        <v>30</v>
      </c>
      <c r="F82" s="14">
        <v>23</v>
      </c>
      <c r="G82" s="14">
        <f t="shared" si="17"/>
        <v>7</v>
      </c>
      <c r="H82" s="15">
        <f t="shared" si="18"/>
        <v>1130.4347826086957</v>
      </c>
      <c r="I82" s="15">
        <f t="shared" si="19"/>
        <v>26000.000000000004</v>
      </c>
      <c r="J82" s="14">
        <f t="shared" si="20"/>
        <v>3120.0000000000005</v>
      </c>
      <c r="K82" s="15">
        <f t="shared" si="21"/>
        <v>195.00000000000003</v>
      </c>
      <c r="L82" s="15">
        <f t="shared" si="22"/>
        <v>22685.000000000004</v>
      </c>
      <c r="M82" s="14"/>
      <c r="N82" s="14"/>
    </row>
    <row r="83" ht="14.25">
      <c r="A83" s="14">
        <v>81</v>
      </c>
      <c r="B83" s="14" t="str">
        <f t="shared" si="16"/>
        <v>Empl_81</v>
      </c>
      <c r="C83" s="14" t="s">
        <v>13</v>
      </c>
      <c r="D83" s="14">
        <v>57000</v>
      </c>
      <c r="E83" s="14">
        <f t="shared" ca="1" si="15"/>
        <v>30</v>
      </c>
      <c r="F83" s="14">
        <v>25</v>
      </c>
      <c r="G83" s="14">
        <f t="shared" si="17"/>
        <v>5</v>
      </c>
      <c r="H83" s="15">
        <f t="shared" si="18"/>
        <v>2280</v>
      </c>
      <c r="I83" s="15">
        <f t="shared" si="19"/>
        <v>57000</v>
      </c>
      <c r="J83" s="14">
        <f t="shared" si="20"/>
        <v>6840</v>
      </c>
      <c r="K83" s="15">
        <f t="shared" si="21"/>
        <v>427.5</v>
      </c>
      <c r="L83" s="15">
        <f t="shared" si="22"/>
        <v>49732.5</v>
      </c>
      <c r="M83" s="14"/>
      <c r="N83" s="14"/>
    </row>
    <row r="84" ht="14.25">
      <c r="A84" s="14">
        <v>82</v>
      </c>
      <c r="B84" s="14" t="str">
        <f t="shared" si="16"/>
        <v>Empl_82</v>
      </c>
      <c r="C84" s="14" t="s">
        <v>9</v>
      </c>
      <c r="D84" s="14">
        <v>36000</v>
      </c>
      <c r="E84" s="14">
        <f t="shared" ca="1" si="15"/>
        <v>30</v>
      </c>
      <c r="F84" s="14">
        <v>29</v>
      </c>
      <c r="G84" s="14">
        <f t="shared" si="17"/>
        <v>1</v>
      </c>
      <c r="H84" s="15">
        <f t="shared" si="18"/>
        <v>1241.3793103448277</v>
      </c>
      <c r="I84" s="15">
        <f t="shared" si="19"/>
        <v>36000</v>
      </c>
      <c r="J84" s="14">
        <f t="shared" si="20"/>
        <v>4320</v>
      </c>
      <c r="K84" s="15">
        <f t="shared" si="21"/>
        <v>270</v>
      </c>
      <c r="L84" s="15">
        <f t="shared" si="22"/>
        <v>31410</v>
      </c>
      <c r="M84" s="14"/>
      <c r="N84" s="14"/>
    </row>
    <row r="85" ht="14.25">
      <c r="A85" s="14">
        <v>83</v>
      </c>
      <c r="B85" s="14" t="str">
        <f t="shared" si="16"/>
        <v>Empl_83</v>
      </c>
      <c r="C85" s="14" t="s">
        <v>11</v>
      </c>
      <c r="D85" s="14">
        <v>36000</v>
      </c>
      <c r="E85" s="14">
        <f t="shared" ca="1" si="15"/>
        <v>30</v>
      </c>
      <c r="F85" s="14">
        <v>24</v>
      </c>
      <c r="G85" s="14">
        <f t="shared" si="17"/>
        <v>6</v>
      </c>
      <c r="H85" s="15">
        <f t="shared" si="18"/>
        <v>1500</v>
      </c>
      <c r="I85" s="15">
        <f t="shared" si="19"/>
        <v>36000</v>
      </c>
      <c r="J85" s="14">
        <f t="shared" si="20"/>
        <v>4320</v>
      </c>
      <c r="K85" s="15">
        <f t="shared" si="21"/>
        <v>270</v>
      </c>
      <c r="L85" s="15">
        <f t="shared" si="22"/>
        <v>31410</v>
      </c>
      <c r="M85" s="14"/>
      <c r="N85" s="14"/>
    </row>
    <row r="86" ht="14.25">
      <c r="A86" s="14">
        <v>84</v>
      </c>
      <c r="B86" s="14" t="str">
        <f t="shared" si="16"/>
        <v>Empl_84</v>
      </c>
      <c r="C86" s="14" t="s">
        <v>8</v>
      </c>
      <c r="D86" s="14">
        <v>32000</v>
      </c>
      <c r="E86" s="14">
        <f t="shared" ca="1" si="15"/>
        <v>30</v>
      </c>
      <c r="F86" s="14">
        <v>28</v>
      </c>
      <c r="G86" s="14">
        <f t="shared" si="17"/>
        <v>2</v>
      </c>
      <c r="H86" s="15">
        <f t="shared" si="18"/>
        <v>1142.8571428571429</v>
      </c>
      <c r="I86" s="15">
        <f t="shared" si="19"/>
        <v>32000</v>
      </c>
      <c r="J86" s="14">
        <f t="shared" si="20"/>
        <v>3840</v>
      </c>
      <c r="K86" s="15">
        <f t="shared" si="21"/>
        <v>240</v>
      </c>
      <c r="L86" s="15">
        <f t="shared" si="22"/>
        <v>27920</v>
      </c>
      <c r="M86" s="14"/>
      <c r="N86" s="14"/>
    </row>
    <row r="87" ht="14.25">
      <c r="A87" s="14">
        <v>85</v>
      </c>
      <c r="B87" s="14" t="str">
        <f t="shared" si="16"/>
        <v>Empl_85</v>
      </c>
      <c r="C87" s="14" t="s">
        <v>12</v>
      </c>
      <c r="D87" s="14">
        <v>17000</v>
      </c>
      <c r="E87" s="14">
        <f t="shared" ca="1" si="15"/>
        <v>30</v>
      </c>
      <c r="F87" s="14">
        <v>27</v>
      </c>
      <c r="G87" s="14">
        <f t="shared" si="17"/>
        <v>3</v>
      </c>
      <c r="H87" s="15">
        <f t="shared" si="18"/>
        <v>629.62962962962968</v>
      </c>
      <c r="I87" s="15">
        <f t="shared" si="19"/>
        <v>17000</v>
      </c>
      <c r="J87" s="14">
        <f t="shared" si="20"/>
        <v>2040</v>
      </c>
      <c r="K87" s="15">
        <f t="shared" si="21"/>
        <v>127.5</v>
      </c>
      <c r="L87" s="15">
        <f t="shared" si="22"/>
        <v>14832.5</v>
      </c>
      <c r="M87" s="14"/>
      <c r="N87" s="14"/>
    </row>
    <row r="88" ht="14.25">
      <c r="A88" s="14">
        <v>86</v>
      </c>
      <c r="B88" s="14" t="str">
        <f t="shared" si="16"/>
        <v>Empl_86</v>
      </c>
      <c r="C88" s="14" t="s">
        <v>10</v>
      </c>
      <c r="D88" s="14">
        <v>59000</v>
      </c>
      <c r="E88" s="14">
        <f t="shared" ca="1" si="15"/>
        <v>30</v>
      </c>
      <c r="F88" s="14">
        <v>25</v>
      </c>
      <c r="G88" s="14">
        <f t="shared" si="17"/>
        <v>5</v>
      </c>
      <c r="H88" s="15">
        <f t="shared" si="18"/>
        <v>2360</v>
      </c>
      <c r="I88" s="15">
        <f t="shared" si="19"/>
        <v>59000</v>
      </c>
      <c r="J88" s="14">
        <f t="shared" si="20"/>
        <v>7080</v>
      </c>
      <c r="K88" s="15">
        <f t="shared" si="21"/>
        <v>442.5</v>
      </c>
      <c r="L88" s="15">
        <f t="shared" si="22"/>
        <v>51477.5</v>
      </c>
      <c r="M88" s="14"/>
      <c r="N88" s="14"/>
    </row>
    <row r="89" ht="14.25">
      <c r="A89" s="14">
        <v>87</v>
      </c>
      <c r="B89" s="14" t="str">
        <f t="shared" si="16"/>
        <v>Empl_87</v>
      </c>
      <c r="C89" s="14" t="s">
        <v>13</v>
      </c>
      <c r="D89" s="14">
        <v>52000</v>
      </c>
      <c r="E89" s="14">
        <f t="shared" ca="1" si="15"/>
        <v>30</v>
      </c>
      <c r="F89" s="14">
        <v>28</v>
      </c>
      <c r="G89" s="14">
        <f t="shared" si="17"/>
        <v>2</v>
      </c>
      <c r="H89" s="15">
        <f t="shared" si="18"/>
        <v>1857.1428571428571</v>
      </c>
      <c r="I89" s="15">
        <f t="shared" si="19"/>
        <v>52000</v>
      </c>
      <c r="J89" s="14">
        <f t="shared" si="20"/>
        <v>6240</v>
      </c>
      <c r="K89" s="15">
        <f t="shared" si="21"/>
        <v>390</v>
      </c>
      <c r="L89" s="15">
        <f t="shared" si="22"/>
        <v>45370</v>
      </c>
      <c r="M89" s="14"/>
      <c r="N89" s="14"/>
    </row>
    <row r="90" ht="14.25">
      <c r="A90" s="14">
        <v>88</v>
      </c>
      <c r="B90" s="14" t="str">
        <f t="shared" si="16"/>
        <v>Empl_88</v>
      </c>
      <c r="C90" s="14" t="s">
        <v>9</v>
      </c>
      <c r="D90" s="14">
        <v>37000</v>
      </c>
      <c r="E90" s="14">
        <f t="shared" ca="1" si="15"/>
        <v>30</v>
      </c>
      <c r="F90" s="14">
        <v>21</v>
      </c>
      <c r="G90" s="14">
        <f t="shared" si="17"/>
        <v>9</v>
      </c>
      <c r="H90" s="15">
        <f t="shared" si="18"/>
        <v>1761.9047619047619</v>
      </c>
      <c r="I90" s="15">
        <f t="shared" si="19"/>
        <v>37000</v>
      </c>
      <c r="J90" s="14">
        <f t="shared" si="20"/>
        <v>4440</v>
      </c>
      <c r="K90" s="15">
        <f t="shared" si="21"/>
        <v>277.5</v>
      </c>
      <c r="L90" s="15">
        <f t="shared" si="22"/>
        <v>32282.5</v>
      </c>
      <c r="M90" s="14"/>
      <c r="N90" s="14"/>
    </row>
    <row r="91" ht="14.25">
      <c r="A91" s="14">
        <v>89</v>
      </c>
      <c r="B91" s="14" t="str">
        <f t="shared" si="16"/>
        <v>Empl_89</v>
      </c>
      <c r="C91" s="14" t="s">
        <v>11</v>
      </c>
      <c r="D91" s="14">
        <v>31000</v>
      </c>
      <c r="E91" s="14">
        <f t="shared" ca="1" si="15"/>
        <v>30</v>
      </c>
      <c r="F91" s="14">
        <v>25</v>
      </c>
      <c r="G91" s="14">
        <f t="shared" si="17"/>
        <v>5</v>
      </c>
      <c r="H91" s="15">
        <f t="shared" si="18"/>
        <v>1240</v>
      </c>
      <c r="I91" s="15">
        <f t="shared" si="19"/>
        <v>31000</v>
      </c>
      <c r="J91" s="14">
        <f t="shared" si="20"/>
        <v>3720</v>
      </c>
      <c r="K91" s="15">
        <f t="shared" si="21"/>
        <v>232.5</v>
      </c>
      <c r="L91" s="15">
        <f t="shared" si="22"/>
        <v>27047.5</v>
      </c>
      <c r="M91" s="14"/>
      <c r="N91" s="14"/>
    </row>
    <row r="92" ht="14.25">
      <c r="A92" s="14">
        <v>90</v>
      </c>
      <c r="B92" s="14" t="str">
        <f t="shared" si="16"/>
        <v>Empl_90</v>
      </c>
      <c r="C92" s="14" t="s">
        <v>8</v>
      </c>
      <c r="D92" s="14">
        <v>31000</v>
      </c>
      <c r="E92" s="14">
        <f t="shared" ca="1" si="15"/>
        <v>30</v>
      </c>
      <c r="F92" s="14">
        <v>29</v>
      </c>
      <c r="G92" s="14">
        <f t="shared" si="17"/>
        <v>1</v>
      </c>
      <c r="H92" s="15">
        <f t="shared" si="18"/>
        <v>1068.9655172413793</v>
      </c>
      <c r="I92" s="15">
        <f t="shared" si="19"/>
        <v>31000</v>
      </c>
      <c r="J92" s="14">
        <f t="shared" si="20"/>
        <v>3720</v>
      </c>
      <c r="K92" s="15">
        <f t="shared" si="21"/>
        <v>232.5</v>
      </c>
      <c r="L92" s="15">
        <f t="shared" si="22"/>
        <v>27047.5</v>
      </c>
      <c r="M92" s="14"/>
      <c r="N92" s="14"/>
    </row>
    <row r="93" ht="14.25">
      <c r="A93" s="14">
        <v>91</v>
      </c>
      <c r="B93" s="14" t="str">
        <f t="shared" si="16"/>
        <v>Empl_91</v>
      </c>
      <c r="C93" s="14" t="s">
        <v>12</v>
      </c>
      <c r="D93" s="14">
        <v>26000</v>
      </c>
      <c r="E93" s="14">
        <f t="shared" ca="1" si="15"/>
        <v>30</v>
      </c>
      <c r="F93" s="14">
        <v>20</v>
      </c>
      <c r="G93" s="14">
        <f t="shared" si="17"/>
        <v>10</v>
      </c>
      <c r="H93" s="15">
        <f t="shared" si="18"/>
        <v>1300</v>
      </c>
      <c r="I93" s="15">
        <f t="shared" si="19"/>
        <v>26000</v>
      </c>
      <c r="J93" s="14">
        <f t="shared" si="20"/>
        <v>3120</v>
      </c>
      <c r="K93" s="15">
        <f t="shared" si="21"/>
        <v>195</v>
      </c>
      <c r="L93" s="15">
        <f t="shared" si="22"/>
        <v>22685</v>
      </c>
      <c r="M93" s="14"/>
      <c r="N93" s="14"/>
    </row>
    <row r="94" ht="14.25">
      <c r="A94" s="14">
        <v>92</v>
      </c>
      <c r="B94" s="14" t="str">
        <f t="shared" si="16"/>
        <v>Empl_92</v>
      </c>
      <c r="C94" s="14" t="s">
        <v>10</v>
      </c>
      <c r="D94" s="14">
        <v>39000</v>
      </c>
      <c r="E94" s="14">
        <f t="shared" ca="1" si="15"/>
        <v>30</v>
      </c>
      <c r="F94" s="14">
        <v>29</v>
      </c>
      <c r="G94" s="14">
        <f t="shared" si="17"/>
        <v>1</v>
      </c>
      <c r="H94" s="15">
        <f t="shared" si="18"/>
        <v>1344.8275862068965</v>
      </c>
      <c r="I94" s="15">
        <f t="shared" si="19"/>
        <v>39000</v>
      </c>
      <c r="J94" s="14">
        <f t="shared" si="20"/>
        <v>4680</v>
      </c>
      <c r="K94" s="15">
        <f t="shared" si="21"/>
        <v>292.5</v>
      </c>
      <c r="L94" s="15">
        <f t="shared" si="22"/>
        <v>34027.5</v>
      </c>
      <c r="M94" s="14"/>
      <c r="N94" s="14"/>
    </row>
    <row r="95" ht="14.25">
      <c r="A95" s="14">
        <v>93</v>
      </c>
      <c r="B95" s="14" t="str">
        <f t="shared" si="16"/>
        <v>Empl_93</v>
      </c>
      <c r="C95" s="14" t="s">
        <v>13</v>
      </c>
      <c r="D95" s="14">
        <v>35000</v>
      </c>
      <c r="E95" s="14">
        <f t="shared" ca="1" si="15"/>
        <v>30</v>
      </c>
      <c r="F95" s="14">
        <v>29</v>
      </c>
      <c r="G95" s="14">
        <f t="shared" si="17"/>
        <v>1</v>
      </c>
      <c r="H95" s="15">
        <f t="shared" si="18"/>
        <v>1206.8965517241379</v>
      </c>
      <c r="I95" s="15">
        <f t="shared" si="19"/>
        <v>35000</v>
      </c>
      <c r="J95" s="14">
        <f t="shared" si="20"/>
        <v>4200</v>
      </c>
      <c r="K95" s="15">
        <f t="shared" si="21"/>
        <v>262.5</v>
      </c>
      <c r="L95" s="15">
        <f t="shared" si="22"/>
        <v>30537.5</v>
      </c>
      <c r="M95" s="14"/>
      <c r="N95" s="14"/>
    </row>
    <row r="96" ht="14.25">
      <c r="A96" s="14">
        <v>94</v>
      </c>
      <c r="B96" s="14" t="str">
        <f t="shared" si="16"/>
        <v>Empl_94</v>
      </c>
      <c r="C96" s="14" t="s">
        <v>9</v>
      </c>
      <c r="D96" s="14">
        <v>24000</v>
      </c>
      <c r="E96" s="14">
        <f t="shared" ca="1" si="15"/>
        <v>30</v>
      </c>
      <c r="F96" s="14">
        <v>23</v>
      </c>
      <c r="G96" s="14">
        <f t="shared" si="17"/>
        <v>7</v>
      </c>
      <c r="H96" s="15">
        <f t="shared" si="18"/>
        <v>1043.4782608695652</v>
      </c>
      <c r="I96" s="15">
        <f t="shared" si="19"/>
        <v>24000</v>
      </c>
      <c r="J96" s="14">
        <f t="shared" si="20"/>
        <v>2880</v>
      </c>
      <c r="K96" s="15">
        <f t="shared" si="21"/>
        <v>180</v>
      </c>
      <c r="L96" s="15">
        <f t="shared" si="22"/>
        <v>20940</v>
      </c>
      <c r="M96" s="14"/>
      <c r="N96" s="14"/>
    </row>
    <row r="97" ht="14.25">
      <c r="A97" s="14">
        <v>95</v>
      </c>
      <c r="B97" s="14" t="str">
        <f t="shared" si="16"/>
        <v>Empl_95</v>
      </c>
      <c r="C97" s="14" t="s">
        <v>11</v>
      </c>
      <c r="D97" s="14">
        <v>42000</v>
      </c>
      <c r="E97" s="14">
        <f t="shared" ca="1" si="15"/>
        <v>30</v>
      </c>
      <c r="F97" s="14">
        <v>27</v>
      </c>
      <c r="G97" s="14">
        <f t="shared" si="17"/>
        <v>3</v>
      </c>
      <c r="H97" s="15">
        <f t="shared" si="18"/>
        <v>1555.5555555555557</v>
      </c>
      <c r="I97" s="15">
        <f t="shared" si="19"/>
        <v>42000</v>
      </c>
      <c r="J97" s="14">
        <f t="shared" si="20"/>
        <v>5040</v>
      </c>
      <c r="K97" s="15">
        <f t="shared" si="21"/>
        <v>315</v>
      </c>
      <c r="L97" s="15">
        <f t="shared" si="22"/>
        <v>36645</v>
      </c>
      <c r="M97" s="14"/>
      <c r="N97" s="14"/>
    </row>
    <row r="98" ht="14.25">
      <c r="A98" s="14">
        <v>96</v>
      </c>
      <c r="B98" s="14" t="str">
        <f t="shared" si="16"/>
        <v>Empl_96</v>
      </c>
      <c r="C98" s="14" t="s">
        <v>8</v>
      </c>
      <c r="D98" s="14">
        <v>30000</v>
      </c>
      <c r="E98" s="14">
        <f t="shared" ca="1" si="15"/>
        <v>30</v>
      </c>
      <c r="F98" s="14">
        <v>21</v>
      </c>
      <c r="G98" s="14">
        <f t="shared" si="17"/>
        <v>9</v>
      </c>
      <c r="H98" s="15">
        <f t="shared" si="18"/>
        <v>1428.5714285714287</v>
      </c>
      <c r="I98" s="15">
        <f t="shared" si="19"/>
        <v>30000.000000000004</v>
      </c>
      <c r="J98" s="14">
        <f t="shared" si="20"/>
        <v>3600.0000000000005</v>
      </c>
      <c r="K98" s="15">
        <f t="shared" si="21"/>
        <v>225.00000000000003</v>
      </c>
      <c r="L98" s="15">
        <f t="shared" si="22"/>
        <v>26175.000000000004</v>
      </c>
      <c r="M98" s="14"/>
      <c r="N98" s="14"/>
    </row>
    <row r="99" ht="14.25">
      <c r="A99" s="14">
        <v>97</v>
      </c>
      <c r="B99" s="14" t="str">
        <f t="shared" si="16"/>
        <v>Empl_97</v>
      </c>
      <c r="C99" s="14" t="s">
        <v>12</v>
      </c>
      <c r="D99" s="14">
        <v>39000</v>
      </c>
      <c r="E99" s="14">
        <f t="shared" ca="1" si="15"/>
        <v>30</v>
      </c>
      <c r="F99" s="14">
        <v>29</v>
      </c>
      <c r="G99" s="14">
        <f t="shared" si="17"/>
        <v>1</v>
      </c>
      <c r="H99" s="15">
        <f t="shared" si="18"/>
        <v>1344.8275862068965</v>
      </c>
      <c r="I99" s="15">
        <f t="shared" si="19"/>
        <v>39000</v>
      </c>
      <c r="J99" s="14">
        <f t="shared" si="20"/>
        <v>4680</v>
      </c>
      <c r="K99" s="15">
        <f t="shared" si="21"/>
        <v>292.5</v>
      </c>
      <c r="L99" s="15">
        <f t="shared" si="22"/>
        <v>34027.5</v>
      </c>
      <c r="M99" s="14"/>
      <c r="N99" s="14"/>
    </row>
    <row r="100" ht="14.25">
      <c r="A100" s="14">
        <v>98</v>
      </c>
      <c r="B100" s="14" t="str">
        <f t="shared" ref="B100:B163" si="23">"Empl_"&amp;A100</f>
        <v>Empl_98</v>
      </c>
      <c r="C100" s="14" t="s">
        <v>10</v>
      </c>
      <c r="D100" s="14">
        <v>51000</v>
      </c>
      <c r="E100" s="14">
        <f t="shared" ca="1" si="15"/>
        <v>30</v>
      </c>
      <c r="F100" s="14">
        <v>28</v>
      </c>
      <c r="G100" s="14">
        <f t="shared" ref="G100:G163" si="24">E100-F100</f>
        <v>2</v>
      </c>
      <c r="H100" s="15">
        <f t="shared" ref="H100:H163" si="25">D100/F100</f>
        <v>1821.4285714285713</v>
      </c>
      <c r="I100" s="15">
        <f t="shared" ref="I100:I163" si="26">H100*F100</f>
        <v>51000</v>
      </c>
      <c r="J100" s="14">
        <f t="shared" ref="J100:J163" si="27">I100*12%</f>
        <v>6120</v>
      </c>
      <c r="K100" s="15">
        <f t="shared" ref="K100:K163" si="28">I100*0.75%</f>
        <v>382.5</v>
      </c>
      <c r="L100" s="15">
        <f t="shared" ref="L100:L163" si="29">I100-(J100+K100)</f>
        <v>44497.5</v>
      </c>
      <c r="M100" s="14"/>
      <c r="N100" s="14"/>
    </row>
    <row r="101" ht="14.25">
      <c r="A101" s="14">
        <v>99</v>
      </c>
      <c r="B101" s="14" t="str">
        <f t="shared" si="23"/>
        <v>Empl_99</v>
      </c>
      <c r="C101" s="14" t="s">
        <v>13</v>
      </c>
      <c r="D101" s="14">
        <v>20000</v>
      </c>
      <c r="E101" s="14">
        <f t="shared" ca="1" si="15"/>
        <v>30</v>
      </c>
      <c r="F101" s="14">
        <v>27</v>
      </c>
      <c r="G101" s="14">
        <f t="shared" si="24"/>
        <v>3</v>
      </c>
      <c r="H101" s="15">
        <f t="shared" si="25"/>
        <v>740.74074074074076</v>
      </c>
      <c r="I101" s="15">
        <f t="shared" si="26"/>
        <v>20000</v>
      </c>
      <c r="J101" s="14">
        <f t="shared" si="27"/>
        <v>2400</v>
      </c>
      <c r="K101" s="15">
        <f t="shared" si="28"/>
        <v>150</v>
      </c>
      <c r="L101" s="15">
        <f t="shared" si="29"/>
        <v>17450</v>
      </c>
      <c r="M101" s="14"/>
      <c r="N101" s="14"/>
    </row>
    <row r="102" ht="14.25">
      <c r="A102" s="14">
        <v>100</v>
      </c>
      <c r="B102" s="14" t="str">
        <f t="shared" si="23"/>
        <v>Empl_100</v>
      </c>
      <c r="C102" s="14" t="s">
        <v>9</v>
      </c>
      <c r="D102" s="14">
        <v>57000</v>
      </c>
      <c r="E102" s="14">
        <f t="shared" ca="1" si="15"/>
        <v>30</v>
      </c>
      <c r="F102" s="14">
        <v>26</v>
      </c>
      <c r="G102" s="14">
        <f t="shared" si="24"/>
        <v>4</v>
      </c>
      <c r="H102" s="15">
        <f t="shared" si="25"/>
        <v>2192.3076923076924</v>
      </c>
      <c r="I102" s="15">
        <f t="shared" si="26"/>
        <v>57000</v>
      </c>
      <c r="J102" s="14">
        <f t="shared" si="27"/>
        <v>6840</v>
      </c>
      <c r="K102" s="15">
        <f t="shared" si="28"/>
        <v>427.5</v>
      </c>
      <c r="L102" s="15">
        <f t="shared" si="29"/>
        <v>49732.5</v>
      </c>
      <c r="M102" s="14"/>
      <c r="N102" s="14"/>
    </row>
    <row r="103" ht="14.25">
      <c r="A103" s="14">
        <v>101</v>
      </c>
      <c r="B103" s="14" t="str">
        <f t="shared" si="23"/>
        <v>Empl_101</v>
      </c>
      <c r="C103" s="14" t="s">
        <v>11</v>
      </c>
      <c r="D103" s="14">
        <v>55000</v>
      </c>
      <c r="E103" s="14">
        <f t="shared" ca="1" si="15"/>
        <v>30</v>
      </c>
      <c r="F103" s="14">
        <v>21</v>
      </c>
      <c r="G103" s="14">
        <f t="shared" si="24"/>
        <v>9</v>
      </c>
      <c r="H103" s="15">
        <f t="shared" si="25"/>
        <v>2619.0476190476193</v>
      </c>
      <c r="I103" s="15">
        <f t="shared" si="26"/>
        <v>55000.000000000007</v>
      </c>
      <c r="J103" s="14">
        <f t="shared" si="27"/>
        <v>6600.0000000000009</v>
      </c>
      <c r="K103" s="15">
        <f t="shared" si="28"/>
        <v>412.50000000000006</v>
      </c>
      <c r="L103" s="15">
        <f t="shared" si="29"/>
        <v>47987.500000000007</v>
      </c>
      <c r="M103" s="14"/>
      <c r="N103" s="14"/>
    </row>
    <row r="104" ht="14.25">
      <c r="A104" s="14">
        <v>102</v>
      </c>
      <c r="B104" s="14" t="str">
        <f t="shared" si="23"/>
        <v>Empl_102</v>
      </c>
      <c r="C104" s="14" t="s">
        <v>8</v>
      </c>
      <c r="D104" s="14">
        <v>43000</v>
      </c>
      <c r="E104" s="14">
        <f t="shared" ca="1" si="15"/>
        <v>30</v>
      </c>
      <c r="F104" s="14">
        <v>27</v>
      </c>
      <c r="G104" s="14">
        <f t="shared" si="24"/>
        <v>3</v>
      </c>
      <c r="H104" s="15">
        <f t="shared" si="25"/>
        <v>1592.5925925925926</v>
      </c>
      <c r="I104" s="15">
        <f t="shared" si="26"/>
        <v>43000</v>
      </c>
      <c r="J104" s="14">
        <f t="shared" si="27"/>
        <v>5160</v>
      </c>
      <c r="K104" s="15">
        <f t="shared" si="28"/>
        <v>322.5</v>
      </c>
      <c r="L104" s="15">
        <f t="shared" si="29"/>
        <v>37517.5</v>
      </c>
      <c r="M104" s="14"/>
      <c r="N104" s="14"/>
    </row>
    <row r="105" ht="14.25">
      <c r="A105" s="14">
        <v>103</v>
      </c>
      <c r="B105" s="14" t="str">
        <f t="shared" si="23"/>
        <v>Empl_103</v>
      </c>
      <c r="C105" s="14" t="s">
        <v>12</v>
      </c>
      <c r="D105" s="14">
        <v>36000</v>
      </c>
      <c r="E105" s="14">
        <f t="shared" ca="1" si="15"/>
        <v>30</v>
      </c>
      <c r="F105" s="14">
        <v>23</v>
      </c>
      <c r="G105" s="14">
        <f t="shared" si="24"/>
        <v>7</v>
      </c>
      <c r="H105" s="15">
        <f t="shared" si="25"/>
        <v>1565.2173913043478</v>
      </c>
      <c r="I105" s="15">
        <f t="shared" si="26"/>
        <v>36000</v>
      </c>
      <c r="J105" s="14">
        <f t="shared" si="27"/>
        <v>4320</v>
      </c>
      <c r="K105" s="15">
        <f t="shared" si="28"/>
        <v>270</v>
      </c>
      <c r="L105" s="15">
        <f t="shared" si="29"/>
        <v>31410</v>
      </c>
      <c r="M105" s="14"/>
      <c r="N105" s="14"/>
    </row>
    <row r="106" ht="14.25">
      <c r="A106" s="14">
        <v>104</v>
      </c>
      <c r="B106" s="14" t="str">
        <f t="shared" si="23"/>
        <v>Empl_104</v>
      </c>
      <c r="C106" s="14" t="s">
        <v>10</v>
      </c>
      <c r="D106" s="14">
        <v>54000</v>
      </c>
      <c r="E106" s="14">
        <f t="shared" ca="1" si="15"/>
        <v>30</v>
      </c>
      <c r="F106" s="14">
        <v>24</v>
      </c>
      <c r="G106" s="14">
        <f t="shared" si="24"/>
        <v>6</v>
      </c>
      <c r="H106" s="15">
        <f t="shared" si="25"/>
        <v>2250</v>
      </c>
      <c r="I106" s="15">
        <f t="shared" si="26"/>
        <v>54000</v>
      </c>
      <c r="J106" s="14">
        <f t="shared" si="27"/>
        <v>6480</v>
      </c>
      <c r="K106" s="15">
        <f t="shared" si="28"/>
        <v>405</v>
      </c>
      <c r="L106" s="15">
        <f t="shared" si="29"/>
        <v>47115</v>
      </c>
      <c r="M106" s="14"/>
      <c r="N106" s="14"/>
    </row>
    <row r="107" ht="14.25">
      <c r="A107" s="14">
        <v>105</v>
      </c>
      <c r="B107" s="14" t="str">
        <f t="shared" si="23"/>
        <v>Empl_105</v>
      </c>
      <c r="C107" s="14" t="s">
        <v>13</v>
      </c>
      <c r="D107" s="14">
        <v>36000</v>
      </c>
      <c r="E107" s="14">
        <f t="shared" ca="1" si="15"/>
        <v>30</v>
      </c>
      <c r="F107" s="14">
        <v>24</v>
      </c>
      <c r="G107" s="14">
        <f t="shared" si="24"/>
        <v>6</v>
      </c>
      <c r="H107" s="15">
        <f t="shared" si="25"/>
        <v>1500</v>
      </c>
      <c r="I107" s="15">
        <f t="shared" si="26"/>
        <v>36000</v>
      </c>
      <c r="J107" s="14">
        <f t="shared" si="27"/>
        <v>4320</v>
      </c>
      <c r="K107" s="15">
        <f t="shared" si="28"/>
        <v>270</v>
      </c>
      <c r="L107" s="15">
        <f t="shared" si="29"/>
        <v>31410</v>
      </c>
      <c r="M107" s="14"/>
      <c r="N107" s="14"/>
    </row>
    <row r="108" ht="14.25">
      <c r="A108" s="14">
        <v>106</v>
      </c>
      <c r="B108" s="14" t="str">
        <f t="shared" si="23"/>
        <v>Empl_106</v>
      </c>
      <c r="C108" s="14" t="s">
        <v>9</v>
      </c>
      <c r="D108" s="14">
        <v>55000</v>
      </c>
      <c r="E108" s="14">
        <f t="shared" ca="1" si="15"/>
        <v>30</v>
      </c>
      <c r="F108" s="14">
        <v>23</v>
      </c>
      <c r="G108" s="14">
        <f t="shared" si="24"/>
        <v>7</v>
      </c>
      <c r="H108" s="15">
        <f t="shared" si="25"/>
        <v>2391.304347826087</v>
      </c>
      <c r="I108" s="15">
        <f t="shared" si="26"/>
        <v>55000</v>
      </c>
      <c r="J108" s="14">
        <f t="shared" si="27"/>
        <v>6600</v>
      </c>
      <c r="K108" s="15">
        <f t="shared" si="28"/>
        <v>412.5</v>
      </c>
      <c r="L108" s="15">
        <f t="shared" si="29"/>
        <v>47987.5</v>
      </c>
      <c r="M108" s="14"/>
      <c r="N108" s="14"/>
    </row>
    <row r="109" ht="14.25">
      <c r="A109" s="14">
        <v>107</v>
      </c>
      <c r="B109" s="14" t="str">
        <f t="shared" si="23"/>
        <v>Empl_107</v>
      </c>
      <c r="C109" s="14" t="s">
        <v>11</v>
      </c>
      <c r="D109" s="14">
        <v>42000</v>
      </c>
      <c r="E109" s="14">
        <f t="shared" ca="1" si="15"/>
        <v>30</v>
      </c>
      <c r="F109" s="14">
        <v>27</v>
      </c>
      <c r="G109" s="14">
        <f t="shared" si="24"/>
        <v>3</v>
      </c>
      <c r="H109" s="15">
        <f t="shared" si="25"/>
        <v>1555.5555555555557</v>
      </c>
      <c r="I109" s="15">
        <f t="shared" si="26"/>
        <v>42000</v>
      </c>
      <c r="J109" s="14">
        <f t="shared" si="27"/>
        <v>5040</v>
      </c>
      <c r="K109" s="15">
        <f t="shared" si="28"/>
        <v>315</v>
      </c>
      <c r="L109" s="15">
        <f t="shared" si="29"/>
        <v>36645</v>
      </c>
      <c r="M109" s="14"/>
      <c r="N109" s="14"/>
    </row>
    <row r="110" ht="14.25">
      <c r="A110" s="14">
        <v>108</v>
      </c>
      <c r="B110" s="14" t="str">
        <f t="shared" si="23"/>
        <v>Empl_108</v>
      </c>
      <c r="C110" s="14" t="s">
        <v>8</v>
      </c>
      <c r="D110" s="14">
        <v>27000</v>
      </c>
      <c r="E110" s="14">
        <f t="shared" ca="1" si="15"/>
        <v>30</v>
      </c>
      <c r="F110" s="14">
        <v>26</v>
      </c>
      <c r="G110" s="14">
        <f t="shared" si="24"/>
        <v>4</v>
      </c>
      <c r="H110" s="15">
        <f t="shared" si="25"/>
        <v>1038.4615384615386</v>
      </c>
      <c r="I110" s="15">
        <f t="shared" si="26"/>
        <v>27000.000000000004</v>
      </c>
      <c r="J110" s="14">
        <f t="shared" si="27"/>
        <v>3240.0000000000005</v>
      </c>
      <c r="K110" s="15">
        <f t="shared" si="28"/>
        <v>202.50000000000003</v>
      </c>
      <c r="L110" s="15">
        <f t="shared" si="29"/>
        <v>23557.500000000004</v>
      </c>
      <c r="M110" s="14"/>
      <c r="N110" s="14"/>
    </row>
    <row r="111" ht="14.25">
      <c r="A111" s="14">
        <v>109</v>
      </c>
      <c r="B111" s="14" t="str">
        <f t="shared" si="23"/>
        <v>Empl_109</v>
      </c>
      <c r="C111" s="14" t="s">
        <v>12</v>
      </c>
      <c r="D111" s="14">
        <v>26000</v>
      </c>
      <c r="E111" s="14">
        <f t="shared" ca="1" si="15"/>
        <v>30</v>
      </c>
      <c r="F111" s="14">
        <v>28</v>
      </c>
      <c r="G111" s="14">
        <f t="shared" si="24"/>
        <v>2</v>
      </c>
      <c r="H111" s="15">
        <f t="shared" si="25"/>
        <v>928.57142857142856</v>
      </c>
      <c r="I111" s="15">
        <f t="shared" si="26"/>
        <v>26000</v>
      </c>
      <c r="J111" s="14">
        <f t="shared" si="27"/>
        <v>3120</v>
      </c>
      <c r="K111" s="15">
        <f t="shared" si="28"/>
        <v>195</v>
      </c>
      <c r="L111" s="15">
        <f t="shared" si="29"/>
        <v>22685</v>
      </c>
      <c r="M111" s="14"/>
      <c r="N111" s="14"/>
    </row>
    <row r="112" ht="14.25">
      <c r="A112" s="14">
        <v>110</v>
      </c>
      <c r="B112" s="14" t="str">
        <f t="shared" si="23"/>
        <v>Empl_110</v>
      </c>
      <c r="C112" s="14" t="s">
        <v>10</v>
      </c>
      <c r="D112" s="14">
        <v>48000</v>
      </c>
      <c r="E112" s="14">
        <f t="shared" ca="1" si="15"/>
        <v>30</v>
      </c>
      <c r="F112" s="14">
        <v>21</v>
      </c>
      <c r="G112" s="14">
        <f t="shared" si="24"/>
        <v>9</v>
      </c>
      <c r="H112" s="15">
        <f t="shared" si="25"/>
        <v>2285.7142857142858</v>
      </c>
      <c r="I112" s="15">
        <f t="shared" si="26"/>
        <v>48000</v>
      </c>
      <c r="J112" s="14">
        <f t="shared" si="27"/>
        <v>5760</v>
      </c>
      <c r="K112" s="15">
        <f t="shared" si="28"/>
        <v>360</v>
      </c>
      <c r="L112" s="15">
        <f t="shared" si="29"/>
        <v>41880</v>
      </c>
      <c r="M112" s="14"/>
      <c r="N112" s="14"/>
    </row>
    <row r="113" ht="14.25">
      <c r="A113" s="14">
        <v>111</v>
      </c>
      <c r="B113" s="14" t="str">
        <f t="shared" si="23"/>
        <v>Empl_111</v>
      </c>
      <c r="C113" s="14" t="s">
        <v>13</v>
      </c>
      <c r="D113" s="14">
        <v>43000</v>
      </c>
      <c r="E113" s="14">
        <f t="shared" ca="1" si="15"/>
        <v>30</v>
      </c>
      <c r="F113" s="14">
        <v>27</v>
      </c>
      <c r="G113" s="14">
        <f t="shared" si="24"/>
        <v>3</v>
      </c>
      <c r="H113" s="15">
        <f t="shared" si="25"/>
        <v>1592.5925925925926</v>
      </c>
      <c r="I113" s="15">
        <f t="shared" si="26"/>
        <v>43000</v>
      </c>
      <c r="J113" s="14">
        <f t="shared" si="27"/>
        <v>5160</v>
      </c>
      <c r="K113" s="15">
        <f t="shared" si="28"/>
        <v>322.5</v>
      </c>
      <c r="L113" s="15">
        <f t="shared" si="29"/>
        <v>37517.5</v>
      </c>
      <c r="M113" s="14"/>
      <c r="N113" s="14"/>
    </row>
    <row r="114" ht="14.25">
      <c r="A114" s="14">
        <v>112</v>
      </c>
      <c r="B114" s="14" t="str">
        <f t="shared" si="23"/>
        <v>Empl_112</v>
      </c>
      <c r="C114" s="14" t="s">
        <v>9</v>
      </c>
      <c r="D114" s="14">
        <v>53000</v>
      </c>
      <c r="E114" s="14">
        <f t="shared" ca="1" si="15"/>
        <v>30</v>
      </c>
      <c r="F114" s="14">
        <v>26</v>
      </c>
      <c r="G114" s="14">
        <f t="shared" si="24"/>
        <v>4</v>
      </c>
      <c r="H114" s="15">
        <f t="shared" si="25"/>
        <v>2038.4615384615386</v>
      </c>
      <c r="I114" s="15">
        <f t="shared" si="26"/>
        <v>53000</v>
      </c>
      <c r="J114" s="14">
        <f t="shared" si="27"/>
        <v>6360</v>
      </c>
      <c r="K114" s="15">
        <f t="shared" si="28"/>
        <v>397.5</v>
      </c>
      <c r="L114" s="15">
        <f t="shared" si="29"/>
        <v>46242.5</v>
      </c>
      <c r="M114" s="14"/>
      <c r="N114" s="14"/>
    </row>
    <row r="115" ht="14.25">
      <c r="A115" s="14">
        <v>113</v>
      </c>
      <c r="B115" s="14" t="str">
        <f t="shared" si="23"/>
        <v>Empl_113</v>
      </c>
      <c r="C115" s="14" t="s">
        <v>11</v>
      </c>
      <c r="D115" s="14">
        <v>20000</v>
      </c>
      <c r="E115" s="14">
        <f t="shared" ca="1" si="15"/>
        <v>30</v>
      </c>
      <c r="F115" s="14">
        <v>25</v>
      </c>
      <c r="G115" s="14">
        <f t="shared" si="24"/>
        <v>5</v>
      </c>
      <c r="H115" s="15">
        <f t="shared" si="25"/>
        <v>800</v>
      </c>
      <c r="I115" s="15">
        <f t="shared" si="26"/>
        <v>20000</v>
      </c>
      <c r="J115" s="14">
        <f t="shared" si="27"/>
        <v>2400</v>
      </c>
      <c r="K115" s="15">
        <f t="shared" si="28"/>
        <v>150</v>
      </c>
      <c r="L115" s="15">
        <f t="shared" si="29"/>
        <v>17450</v>
      </c>
      <c r="M115" s="14"/>
      <c r="N115" s="14"/>
    </row>
    <row r="116" ht="14.25">
      <c r="A116" s="14">
        <v>114</v>
      </c>
      <c r="B116" s="14" t="str">
        <f t="shared" si="23"/>
        <v>Empl_114</v>
      </c>
      <c r="C116" s="14" t="s">
        <v>8</v>
      </c>
      <c r="D116" s="14">
        <v>31000</v>
      </c>
      <c r="E116" s="14">
        <f t="shared" ca="1" si="15"/>
        <v>30</v>
      </c>
      <c r="F116" s="14">
        <v>21</v>
      </c>
      <c r="G116" s="14">
        <f t="shared" si="24"/>
        <v>9</v>
      </c>
      <c r="H116" s="15">
        <f t="shared" si="25"/>
        <v>1476.1904761904761</v>
      </c>
      <c r="I116" s="15">
        <f t="shared" si="26"/>
        <v>31000</v>
      </c>
      <c r="J116" s="14">
        <f t="shared" si="27"/>
        <v>3720</v>
      </c>
      <c r="K116" s="15">
        <f t="shared" si="28"/>
        <v>232.5</v>
      </c>
      <c r="L116" s="15">
        <f t="shared" si="29"/>
        <v>27047.5</v>
      </c>
      <c r="M116" s="14"/>
      <c r="N116" s="14"/>
    </row>
    <row r="117" ht="14.25">
      <c r="A117" s="14">
        <v>115</v>
      </c>
      <c r="B117" s="14" t="str">
        <f t="shared" si="23"/>
        <v>Empl_115</v>
      </c>
      <c r="C117" s="14" t="s">
        <v>12</v>
      </c>
      <c r="D117" s="14">
        <v>41000</v>
      </c>
      <c r="E117" s="14">
        <f t="shared" ca="1" si="15"/>
        <v>30</v>
      </c>
      <c r="F117" s="14">
        <v>27</v>
      </c>
      <c r="G117" s="14">
        <f t="shared" si="24"/>
        <v>3</v>
      </c>
      <c r="H117" s="15">
        <f t="shared" si="25"/>
        <v>1518.5185185185185</v>
      </c>
      <c r="I117" s="15">
        <f t="shared" si="26"/>
        <v>41000</v>
      </c>
      <c r="J117" s="14">
        <f t="shared" si="27"/>
        <v>4920</v>
      </c>
      <c r="K117" s="15">
        <f t="shared" si="28"/>
        <v>307.5</v>
      </c>
      <c r="L117" s="15">
        <f t="shared" si="29"/>
        <v>35772.5</v>
      </c>
      <c r="M117" s="14"/>
      <c r="N117" s="14"/>
    </row>
    <row r="118" ht="14.25">
      <c r="A118" s="14">
        <v>116</v>
      </c>
      <c r="B118" s="14" t="str">
        <f t="shared" si="23"/>
        <v>Empl_116</v>
      </c>
      <c r="C118" s="14" t="s">
        <v>10</v>
      </c>
      <c r="D118" s="14">
        <v>32000</v>
      </c>
      <c r="E118" s="14">
        <f t="shared" ca="1" si="15"/>
        <v>30</v>
      </c>
      <c r="F118" s="14">
        <v>23</v>
      </c>
      <c r="G118" s="14">
        <f t="shared" si="24"/>
        <v>7</v>
      </c>
      <c r="H118" s="15">
        <f t="shared" si="25"/>
        <v>1391.304347826087</v>
      </c>
      <c r="I118" s="15">
        <f t="shared" si="26"/>
        <v>32000</v>
      </c>
      <c r="J118" s="14">
        <f t="shared" si="27"/>
        <v>3840</v>
      </c>
      <c r="K118" s="15">
        <f t="shared" si="28"/>
        <v>240</v>
      </c>
      <c r="L118" s="15">
        <f t="shared" si="29"/>
        <v>27920</v>
      </c>
      <c r="M118" s="14"/>
      <c r="N118" s="14"/>
    </row>
    <row r="119" ht="14.25">
      <c r="A119" s="14">
        <v>117</v>
      </c>
      <c r="B119" s="14" t="str">
        <f t="shared" si="23"/>
        <v>Empl_117</v>
      </c>
      <c r="C119" s="14" t="s">
        <v>13</v>
      </c>
      <c r="D119" s="14">
        <v>23000</v>
      </c>
      <c r="E119" s="14">
        <f t="shared" ca="1" si="15"/>
        <v>30</v>
      </c>
      <c r="F119" s="14">
        <v>25</v>
      </c>
      <c r="G119" s="14">
        <f t="shared" si="24"/>
        <v>5</v>
      </c>
      <c r="H119" s="15">
        <f t="shared" si="25"/>
        <v>920</v>
      </c>
      <c r="I119" s="15">
        <f t="shared" si="26"/>
        <v>23000</v>
      </c>
      <c r="J119" s="14">
        <f t="shared" si="27"/>
        <v>2760</v>
      </c>
      <c r="K119" s="15">
        <f t="shared" si="28"/>
        <v>172.5</v>
      </c>
      <c r="L119" s="15">
        <f t="shared" si="29"/>
        <v>20067.5</v>
      </c>
      <c r="M119" s="14"/>
      <c r="N119" s="14"/>
    </row>
    <row r="120" ht="14.25">
      <c r="A120" s="14">
        <v>118</v>
      </c>
      <c r="B120" s="14" t="str">
        <f t="shared" si="23"/>
        <v>Empl_118</v>
      </c>
      <c r="C120" s="14" t="s">
        <v>9</v>
      </c>
      <c r="D120" s="14">
        <v>55000</v>
      </c>
      <c r="E120" s="14">
        <f t="shared" ca="1" si="15"/>
        <v>30</v>
      </c>
      <c r="F120" s="14">
        <v>26</v>
      </c>
      <c r="G120" s="14">
        <f t="shared" si="24"/>
        <v>4</v>
      </c>
      <c r="H120" s="15">
        <f t="shared" si="25"/>
        <v>2115.3846153846152</v>
      </c>
      <c r="I120" s="15">
        <f t="shared" si="26"/>
        <v>55000</v>
      </c>
      <c r="J120" s="14">
        <f t="shared" si="27"/>
        <v>6600</v>
      </c>
      <c r="K120" s="15">
        <f t="shared" si="28"/>
        <v>412.5</v>
      </c>
      <c r="L120" s="15">
        <f t="shared" si="29"/>
        <v>47987.5</v>
      </c>
      <c r="M120" s="14"/>
      <c r="N120" s="14"/>
    </row>
    <row r="121" ht="14.25">
      <c r="A121" s="14">
        <v>119</v>
      </c>
      <c r="B121" s="14" t="str">
        <f t="shared" si="23"/>
        <v>Empl_119</v>
      </c>
      <c r="C121" s="14" t="s">
        <v>11</v>
      </c>
      <c r="D121" s="14">
        <v>54000</v>
      </c>
      <c r="E121" s="14">
        <f t="shared" ca="1" si="15"/>
        <v>30</v>
      </c>
      <c r="F121" s="14">
        <v>20</v>
      </c>
      <c r="G121" s="14">
        <f t="shared" si="24"/>
        <v>10</v>
      </c>
      <c r="H121" s="15">
        <f t="shared" si="25"/>
        <v>2700</v>
      </c>
      <c r="I121" s="15">
        <f t="shared" si="26"/>
        <v>54000</v>
      </c>
      <c r="J121" s="14">
        <f t="shared" si="27"/>
        <v>6480</v>
      </c>
      <c r="K121" s="15">
        <f t="shared" si="28"/>
        <v>405</v>
      </c>
      <c r="L121" s="15">
        <f t="shared" si="29"/>
        <v>47115</v>
      </c>
      <c r="M121" s="14"/>
      <c r="N121" s="14"/>
    </row>
    <row r="122" ht="14.25">
      <c r="A122" s="14">
        <v>120</v>
      </c>
      <c r="B122" s="14" t="str">
        <f t="shared" si="23"/>
        <v>Empl_120</v>
      </c>
      <c r="C122" s="14" t="s">
        <v>8</v>
      </c>
      <c r="D122" s="14">
        <v>54000</v>
      </c>
      <c r="E122" s="14">
        <f t="shared" ca="1" si="15"/>
        <v>30</v>
      </c>
      <c r="F122" s="14">
        <v>26</v>
      </c>
      <c r="G122" s="14">
        <f t="shared" si="24"/>
        <v>4</v>
      </c>
      <c r="H122" s="15">
        <f t="shared" si="25"/>
        <v>2076.9230769230771</v>
      </c>
      <c r="I122" s="15">
        <f t="shared" si="26"/>
        <v>54000.000000000007</v>
      </c>
      <c r="J122" s="14">
        <f t="shared" si="27"/>
        <v>6480.0000000000009</v>
      </c>
      <c r="K122" s="15">
        <f t="shared" si="28"/>
        <v>405.00000000000006</v>
      </c>
      <c r="L122" s="15">
        <f t="shared" si="29"/>
        <v>47115.000000000007</v>
      </c>
      <c r="M122" s="14"/>
      <c r="N122" s="14"/>
    </row>
    <row r="123" ht="14.25">
      <c r="A123" s="14">
        <v>121</v>
      </c>
      <c r="B123" s="14" t="str">
        <f t="shared" si="23"/>
        <v>Empl_121</v>
      </c>
      <c r="C123" s="14" t="s">
        <v>12</v>
      </c>
      <c r="D123" s="14">
        <v>44000</v>
      </c>
      <c r="E123" s="14">
        <f t="shared" ca="1" si="15"/>
        <v>30</v>
      </c>
      <c r="F123" s="14">
        <v>21</v>
      </c>
      <c r="G123" s="14">
        <f t="shared" si="24"/>
        <v>9</v>
      </c>
      <c r="H123" s="15">
        <f t="shared" si="25"/>
        <v>2095.2380952380954</v>
      </c>
      <c r="I123" s="15">
        <f t="shared" si="26"/>
        <v>44000</v>
      </c>
      <c r="J123" s="14">
        <f t="shared" si="27"/>
        <v>5280</v>
      </c>
      <c r="K123" s="15">
        <f t="shared" si="28"/>
        <v>330</v>
      </c>
      <c r="L123" s="15">
        <f t="shared" si="29"/>
        <v>38390</v>
      </c>
      <c r="M123" s="14"/>
      <c r="N123" s="14"/>
    </row>
    <row r="124" ht="14.25">
      <c r="A124" s="14">
        <v>122</v>
      </c>
      <c r="B124" s="14" t="str">
        <f t="shared" si="23"/>
        <v>Empl_122</v>
      </c>
      <c r="C124" s="14" t="s">
        <v>10</v>
      </c>
      <c r="D124" s="14">
        <v>27000</v>
      </c>
      <c r="E124" s="14">
        <f t="shared" ca="1" si="15"/>
        <v>30</v>
      </c>
      <c r="F124" s="14">
        <v>30</v>
      </c>
      <c r="G124" s="14">
        <f t="shared" si="24"/>
        <v>0</v>
      </c>
      <c r="H124" s="15">
        <f t="shared" si="25"/>
        <v>900</v>
      </c>
      <c r="I124" s="15">
        <f t="shared" si="26"/>
        <v>27000</v>
      </c>
      <c r="J124" s="14">
        <f t="shared" si="27"/>
        <v>3240</v>
      </c>
      <c r="K124" s="15">
        <f t="shared" si="28"/>
        <v>202.5</v>
      </c>
      <c r="L124" s="15">
        <f t="shared" si="29"/>
        <v>23557.5</v>
      </c>
      <c r="M124" s="14"/>
      <c r="N124" s="14"/>
    </row>
    <row r="125" ht="14.25">
      <c r="A125" s="14">
        <v>123</v>
      </c>
      <c r="B125" s="14" t="str">
        <f t="shared" si="23"/>
        <v>Empl_123</v>
      </c>
      <c r="C125" s="14" t="s">
        <v>13</v>
      </c>
      <c r="D125" s="14">
        <v>21000</v>
      </c>
      <c r="E125" s="14">
        <f t="shared" ca="1" si="15"/>
        <v>30</v>
      </c>
      <c r="F125" s="14">
        <v>23</v>
      </c>
      <c r="G125" s="14">
        <f t="shared" si="24"/>
        <v>7</v>
      </c>
      <c r="H125" s="15">
        <f t="shared" si="25"/>
        <v>913.04347826086962</v>
      </c>
      <c r="I125" s="15">
        <f t="shared" si="26"/>
        <v>21000</v>
      </c>
      <c r="J125" s="14">
        <f t="shared" si="27"/>
        <v>2520</v>
      </c>
      <c r="K125" s="15">
        <f t="shared" si="28"/>
        <v>157.5</v>
      </c>
      <c r="L125" s="15">
        <f t="shared" si="29"/>
        <v>18322.5</v>
      </c>
      <c r="M125" s="14"/>
      <c r="N125" s="14"/>
    </row>
    <row r="126" ht="14.25">
      <c r="A126" s="14">
        <v>124</v>
      </c>
      <c r="B126" s="14" t="str">
        <f t="shared" si="23"/>
        <v>Empl_124</v>
      </c>
      <c r="C126" s="14" t="s">
        <v>9</v>
      </c>
      <c r="D126" s="14">
        <v>27000</v>
      </c>
      <c r="E126" s="14">
        <f t="shared" ca="1" si="15"/>
        <v>30</v>
      </c>
      <c r="F126" s="14">
        <v>20</v>
      </c>
      <c r="G126" s="14">
        <f t="shared" si="24"/>
        <v>10</v>
      </c>
      <c r="H126" s="15">
        <f t="shared" si="25"/>
        <v>1350</v>
      </c>
      <c r="I126" s="15">
        <f t="shared" si="26"/>
        <v>27000</v>
      </c>
      <c r="J126" s="14">
        <f t="shared" si="27"/>
        <v>3240</v>
      </c>
      <c r="K126" s="15">
        <f t="shared" si="28"/>
        <v>202.5</v>
      </c>
      <c r="L126" s="15">
        <f t="shared" si="29"/>
        <v>23557.5</v>
      </c>
      <c r="M126" s="14"/>
      <c r="N126" s="14"/>
    </row>
    <row r="127" ht="14.25">
      <c r="A127" s="14">
        <v>125</v>
      </c>
      <c r="B127" s="14" t="str">
        <f t="shared" si="23"/>
        <v>Empl_125</v>
      </c>
      <c r="C127" s="14" t="s">
        <v>11</v>
      </c>
      <c r="D127" s="14">
        <v>32000</v>
      </c>
      <c r="E127" s="14">
        <f t="shared" ca="1" si="15"/>
        <v>30</v>
      </c>
      <c r="F127" s="14">
        <v>26</v>
      </c>
      <c r="G127" s="14">
        <f t="shared" si="24"/>
        <v>4</v>
      </c>
      <c r="H127" s="15">
        <f t="shared" si="25"/>
        <v>1230.7692307692307</v>
      </c>
      <c r="I127" s="15">
        <f t="shared" si="26"/>
        <v>32000</v>
      </c>
      <c r="J127" s="14">
        <f t="shared" si="27"/>
        <v>3840</v>
      </c>
      <c r="K127" s="15">
        <f t="shared" si="28"/>
        <v>240</v>
      </c>
      <c r="L127" s="15">
        <f t="shared" si="29"/>
        <v>27920</v>
      </c>
      <c r="M127" s="14"/>
      <c r="N127" s="14"/>
    </row>
    <row r="128" ht="14.25">
      <c r="A128" s="14">
        <v>126</v>
      </c>
      <c r="B128" s="14" t="str">
        <f t="shared" si="23"/>
        <v>Empl_126</v>
      </c>
      <c r="C128" s="14" t="s">
        <v>8</v>
      </c>
      <c r="D128" s="14">
        <v>53000</v>
      </c>
      <c r="E128" s="14">
        <f t="shared" ca="1" si="15"/>
        <v>30</v>
      </c>
      <c r="F128" s="14">
        <v>21</v>
      </c>
      <c r="G128" s="14">
        <f t="shared" si="24"/>
        <v>9</v>
      </c>
      <c r="H128" s="15">
        <f t="shared" si="25"/>
        <v>2523.8095238095239</v>
      </c>
      <c r="I128" s="15">
        <f t="shared" si="26"/>
        <v>53000</v>
      </c>
      <c r="J128" s="14">
        <f t="shared" si="27"/>
        <v>6360</v>
      </c>
      <c r="K128" s="15">
        <f t="shared" si="28"/>
        <v>397.5</v>
      </c>
      <c r="L128" s="15">
        <f t="shared" si="29"/>
        <v>46242.5</v>
      </c>
      <c r="M128" s="14"/>
      <c r="N128" s="14"/>
    </row>
    <row r="129" ht="14.25">
      <c r="A129" s="14">
        <v>127</v>
      </c>
      <c r="B129" s="14" t="str">
        <f t="shared" si="23"/>
        <v>Empl_127</v>
      </c>
      <c r="C129" s="14" t="s">
        <v>12</v>
      </c>
      <c r="D129" s="14">
        <v>50000</v>
      </c>
      <c r="E129" s="14">
        <f t="shared" ca="1" si="15"/>
        <v>30</v>
      </c>
      <c r="F129" s="14">
        <v>20</v>
      </c>
      <c r="G129" s="14">
        <f t="shared" si="24"/>
        <v>10</v>
      </c>
      <c r="H129" s="15">
        <f t="shared" si="25"/>
        <v>2500</v>
      </c>
      <c r="I129" s="15">
        <f t="shared" si="26"/>
        <v>50000</v>
      </c>
      <c r="J129" s="14">
        <f t="shared" si="27"/>
        <v>6000</v>
      </c>
      <c r="K129" s="15">
        <f t="shared" si="28"/>
        <v>375</v>
      </c>
      <c r="L129" s="15">
        <f t="shared" si="29"/>
        <v>43625</v>
      </c>
      <c r="M129" s="14"/>
      <c r="N129" s="14"/>
    </row>
    <row r="130" ht="14.25">
      <c r="A130" s="14">
        <v>128</v>
      </c>
      <c r="B130" s="14" t="str">
        <f t="shared" si="23"/>
        <v>Empl_128</v>
      </c>
      <c r="C130" s="14" t="s">
        <v>10</v>
      </c>
      <c r="D130" s="14">
        <v>46000</v>
      </c>
      <c r="E130" s="14">
        <f t="shared" ca="1" si="15"/>
        <v>30</v>
      </c>
      <c r="F130" s="14">
        <v>29</v>
      </c>
      <c r="G130" s="14">
        <f t="shared" si="24"/>
        <v>1</v>
      </c>
      <c r="H130" s="15">
        <f t="shared" si="25"/>
        <v>1586.2068965517242</v>
      </c>
      <c r="I130" s="15">
        <f t="shared" si="26"/>
        <v>46000</v>
      </c>
      <c r="J130" s="14">
        <f t="shared" si="27"/>
        <v>5520</v>
      </c>
      <c r="K130" s="15">
        <f t="shared" si="28"/>
        <v>345</v>
      </c>
      <c r="L130" s="15">
        <f t="shared" si="29"/>
        <v>40135</v>
      </c>
      <c r="M130" s="14"/>
      <c r="N130" s="14"/>
    </row>
    <row r="131" ht="14.25">
      <c r="A131" s="14">
        <v>129</v>
      </c>
      <c r="B131" s="14" t="str">
        <f t="shared" si="23"/>
        <v>Empl_129</v>
      </c>
      <c r="C131" s="14" t="s">
        <v>13</v>
      </c>
      <c r="D131" s="14">
        <v>21000</v>
      </c>
      <c r="E131" s="14">
        <f t="shared" ref="E131:E194" ca="1" si="30">DAY(EOMONTH(TODAY(),0))</f>
        <v>30</v>
      </c>
      <c r="F131" s="14">
        <v>27</v>
      </c>
      <c r="G131" s="14">
        <f t="shared" si="24"/>
        <v>3</v>
      </c>
      <c r="H131" s="15">
        <f t="shared" si="25"/>
        <v>777.77777777777783</v>
      </c>
      <c r="I131" s="15">
        <f t="shared" si="26"/>
        <v>21000</v>
      </c>
      <c r="J131" s="14">
        <f t="shared" si="27"/>
        <v>2520</v>
      </c>
      <c r="K131" s="15">
        <f t="shared" si="28"/>
        <v>157.5</v>
      </c>
      <c r="L131" s="15">
        <f t="shared" si="29"/>
        <v>18322.5</v>
      </c>
      <c r="M131" s="14"/>
      <c r="N131" s="14"/>
    </row>
    <row r="132" ht="14.25">
      <c r="A132" s="14">
        <v>130</v>
      </c>
      <c r="B132" s="14" t="str">
        <f t="shared" si="23"/>
        <v>Empl_130</v>
      </c>
      <c r="C132" s="14" t="s">
        <v>9</v>
      </c>
      <c r="D132" s="14">
        <v>38000</v>
      </c>
      <c r="E132" s="14">
        <f t="shared" ca="1" si="30"/>
        <v>30</v>
      </c>
      <c r="F132" s="14">
        <v>26</v>
      </c>
      <c r="G132" s="14">
        <f t="shared" si="24"/>
        <v>4</v>
      </c>
      <c r="H132" s="15">
        <f t="shared" si="25"/>
        <v>1461.5384615384614</v>
      </c>
      <c r="I132" s="15">
        <f t="shared" si="26"/>
        <v>38000</v>
      </c>
      <c r="J132" s="14">
        <f t="shared" si="27"/>
        <v>4560</v>
      </c>
      <c r="K132" s="15">
        <f t="shared" si="28"/>
        <v>285</v>
      </c>
      <c r="L132" s="15">
        <f t="shared" si="29"/>
        <v>33155</v>
      </c>
      <c r="M132" s="14"/>
      <c r="N132" s="14"/>
    </row>
    <row r="133" ht="14.25">
      <c r="A133" s="14">
        <v>131</v>
      </c>
      <c r="B133" s="14" t="str">
        <f t="shared" si="23"/>
        <v>Empl_131</v>
      </c>
      <c r="C133" s="14" t="s">
        <v>11</v>
      </c>
      <c r="D133" s="14">
        <v>46000</v>
      </c>
      <c r="E133" s="14">
        <f t="shared" ca="1" si="30"/>
        <v>30</v>
      </c>
      <c r="F133" s="14">
        <v>29</v>
      </c>
      <c r="G133" s="14">
        <f t="shared" si="24"/>
        <v>1</v>
      </c>
      <c r="H133" s="15">
        <f t="shared" si="25"/>
        <v>1586.2068965517242</v>
      </c>
      <c r="I133" s="15">
        <f t="shared" si="26"/>
        <v>46000</v>
      </c>
      <c r="J133" s="14">
        <f t="shared" si="27"/>
        <v>5520</v>
      </c>
      <c r="K133" s="15">
        <f t="shared" si="28"/>
        <v>345</v>
      </c>
      <c r="L133" s="15">
        <f t="shared" si="29"/>
        <v>40135</v>
      </c>
      <c r="M133" s="14"/>
      <c r="N133" s="14"/>
    </row>
    <row r="134" ht="14.25">
      <c r="A134" s="14">
        <v>132</v>
      </c>
      <c r="B134" s="14" t="str">
        <f t="shared" si="23"/>
        <v>Empl_132</v>
      </c>
      <c r="C134" s="14" t="s">
        <v>8</v>
      </c>
      <c r="D134" s="14">
        <v>40000</v>
      </c>
      <c r="E134" s="14">
        <f t="shared" ca="1" si="30"/>
        <v>30</v>
      </c>
      <c r="F134" s="14">
        <v>26</v>
      </c>
      <c r="G134" s="14">
        <f t="shared" si="24"/>
        <v>4</v>
      </c>
      <c r="H134" s="15">
        <f t="shared" si="25"/>
        <v>1538.4615384615386</v>
      </c>
      <c r="I134" s="15">
        <f t="shared" si="26"/>
        <v>40000</v>
      </c>
      <c r="J134" s="14">
        <f t="shared" si="27"/>
        <v>4800</v>
      </c>
      <c r="K134" s="15">
        <f t="shared" si="28"/>
        <v>300</v>
      </c>
      <c r="L134" s="15">
        <f t="shared" si="29"/>
        <v>34900</v>
      </c>
      <c r="M134" s="14"/>
      <c r="N134" s="14"/>
    </row>
    <row r="135" ht="14.25">
      <c r="A135" s="14">
        <v>133</v>
      </c>
      <c r="B135" s="14" t="str">
        <f t="shared" si="23"/>
        <v>Empl_133</v>
      </c>
      <c r="C135" s="14" t="s">
        <v>12</v>
      </c>
      <c r="D135" s="14">
        <v>37000</v>
      </c>
      <c r="E135" s="14">
        <f t="shared" ca="1" si="30"/>
        <v>30</v>
      </c>
      <c r="F135" s="14">
        <v>24</v>
      </c>
      <c r="G135" s="14">
        <f t="shared" si="24"/>
        <v>6</v>
      </c>
      <c r="H135" s="15">
        <f t="shared" si="25"/>
        <v>1541.6666666666667</v>
      </c>
      <c r="I135" s="15">
        <f t="shared" si="26"/>
        <v>37000</v>
      </c>
      <c r="J135" s="14">
        <f t="shared" si="27"/>
        <v>4440</v>
      </c>
      <c r="K135" s="15">
        <f t="shared" si="28"/>
        <v>277.5</v>
      </c>
      <c r="L135" s="15">
        <f t="shared" si="29"/>
        <v>32282.5</v>
      </c>
      <c r="M135" s="14"/>
      <c r="N135" s="14"/>
    </row>
    <row r="136" ht="14.25">
      <c r="A136" s="14">
        <v>134</v>
      </c>
      <c r="B136" s="14" t="str">
        <f t="shared" si="23"/>
        <v>Empl_134</v>
      </c>
      <c r="C136" s="14" t="s">
        <v>10</v>
      </c>
      <c r="D136" s="14">
        <v>49000</v>
      </c>
      <c r="E136" s="14">
        <f t="shared" ca="1" si="30"/>
        <v>30</v>
      </c>
      <c r="F136" s="14">
        <v>20</v>
      </c>
      <c r="G136" s="14">
        <f t="shared" si="24"/>
        <v>10</v>
      </c>
      <c r="H136" s="15">
        <f t="shared" si="25"/>
        <v>2450</v>
      </c>
      <c r="I136" s="15">
        <f t="shared" si="26"/>
        <v>49000</v>
      </c>
      <c r="J136" s="14">
        <f t="shared" si="27"/>
        <v>5880</v>
      </c>
      <c r="K136" s="15">
        <f t="shared" si="28"/>
        <v>367.5</v>
      </c>
      <c r="L136" s="15">
        <f t="shared" si="29"/>
        <v>42752.5</v>
      </c>
      <c r="M136" s="14"/>
      <c r="N136" s="14"/>
    </row>
    <row r="137" ht="14.25">
      <c r="A137" s="14">
        <v>135</v>
      </c>
      <c r="B137" s="14" t="str">
        <f t="shared" si="23"/>
        <v>Empl_135</v>
      </c>
      <c r="C137" s="14" t="s">
        <v>13</v>
      </c>
      <c r="D137" s="14">
        <v>54000</v>
      </c>
      <c r="E137" s="14">
        <f t="shared" ca="1" si="30"/>
        <v>30</v>
      </c>
      <c r="F137" s="14">
        <v>24</v>
      </c>
      <c r="G137" s="14">
        <f t="shared" si="24"/>
        <v>6</v>
      </c>
      <c r="H137" s="15">
        <f t="shared" si="25"/>
        <v>2250</v>
      </c>
      <c r="I137" s="15">
        <f t="shared" si="26"/>
        <v>54000</v>
      </c>
      <c r="J137" s="14">
        <f t="shared" si="27"/>
        <v>6480</v>
      </c>
      <c r="K137" s="15">
        <f t="shared" si="28"/>
        <v>405</v>
      </c>
      <c r="L137" s="15">
        <f t="shared" si="29"/>
        <v>47115</v>
      </c>
      <c r="M137" s="14"/>
      <c r="N137" s="14"/>
    </row>
    <row r="138" ht="14.25">
      <c r="A138" s="14">
        <v>136</v>
      </c>
      <c r="B138" s="14" t="str">
        <f t="shared" si="23"/>
        <v>Empl_136</v>
      </c>
      <c r="C138" s="14" t="s">
        <v>9</v>
      </c>
      <c r="D138" s="14">
        <v>60000</v>
      </c>
      <c r="E138" s="14">
        <f t="shared" ca="1" si="30"/>
        <v>30</v>
      </c>
      <c r="F138" s="14">
        <v>20</v>
      </c>
      <c r="G138" s="14">
        <f t="shared" si="24"/>
        <v>10</v>
      </c>
      <c r="H138" s="15">
        <f t="shared" si="25"/>
        <v>3000</v>
      </c>
      <c r="I138" s="15">
        <f t="shared" si="26"/>
        <v>60000</v>
      </c>
      <c r="J138" s="14">
        <f t="shared" si="27"/>
        <v>7200</v>
      </c>
      <c r="K138" s="15">
        <f t="shared" si="28"/>
        <v>450</v>
      </c>
      <c r="L138" s="15">
        <f t="shared" si="29"/>
        <v>52350</v>
      </c>
      <c r="M138" s="14"/>
      <c r="N138" s="14"/>
    </row>
    <row r="139" ht="14.25">
      <c r="A139" s="14">
        <v>137</v>
      </c>
      <c r="B139" s="14" t="str">
        <f t="shared" si="23"/>
        <v>Empl_137</v>
      </c>
      <c r="C139" s="14" t="s">
        <v>11</v>
      </c>
      <c r="D139" s="14">
        <v>24000</v>
      </c>
      <c r="E139" s="14">
        <f t="shared" ca="1" si="30"/>
        <v>30</v>
      </c>
      <c r="F139" s="14">
        <v>20</v>
      </c>
      <c r="G139" s="14">
        <f t="shared" si="24"/>
        <v>10</v>
      </c>
      <c r="H139" s="15">
        <f t="shared" si="25"/>
        <v>1200</v>
      </c>
      <c r="I139" s="15">
        <f t="shared" si="26"/>
        <v>24000</v>
      </c>
      <c r="J139" s="14">
        <f t="shared" si="27"/>
        <v>2880</v>
      </c>
      <c r="K139" s="15">
        <f t="shared" si="28"/>
        <v>180</v>
      </c>
      <c r="L139" s="15">
        <f t="shared" si="29"/>
        <v>20940</v>
      </c>
      <c r="M139" s="14"/>
      <c r="N139" s="14"/>
    </row>
    <row r="140" ht="14.25">
      <c r="A140" s="14">
        <v>138</v>
      </c>
      <c r="B140" s="14" t="str">
        <f t="shared" si="23"/>
        <v>Empl_138</v>
      </c>
      <c r="C140" s="14" t="s">
        <v>8</v>
      </c>
      <c r="D140" s="14">
        <v>29000</v>
      </c>
      <c r="E140" s="14">
        <f t="shared" ca="1" si="30"/>
        <v>30</v>
      </c>
      <c r="F140" s="14">
        <v>20</v>
      </c>
      <c r="G140" s="14">
        <f t="shared" si="24"/>
        <v>10</v>
      </c>
      <c r="H140" s="15">
        <f t="shared" si="25"/>
        <v>1450</v>
      </c>
      <c r="I140" s="15">
        <f t="shared" si="26"/>
        <v>29000</v>
      </c>
      <c r="J140" s="14">
        <f t="shared" si="27"/>
        <v>3480</v>
      </c>
      <c r="K140" s="15">
        <f t="shared" si="28"/>
        <v>217.5</v>
      </c>
      <c r="L140" s="15">
        <f t="shared" si="29"/>
        <v>25302.5</v>
      </c>
      <c r="M140" s="14"/>
      <c r="N140" s="14"/>
    </row>
    <row r="141" ht="14.25">
      <c r="A141" s="14">
        <v>139</v>
      </c>
      <c r="B141" s="14" t="str">
        <f t="shared" si="23"/>
        <v>Empl_139</v>
      </c>
      <c r="C141" s="14" t="s">
        <v>12</v>
      </c>
      <c r="D141" s="14">
        <v>36000</v>
      </c>
      <c r="E141" s="14">
        <f t="shared" ca="1" si="30"/>
        <v>30</v>
      </c>
      <c r="F141" s="14">
        <v>27</v>
      </c>
      <c r="G141" s="14">
        <f t="shared" si="24"/>
        <v>3</v>
      </c>
      <c r="H141" s="15">
        <f t="shared" si="25"/>
        <v>1333.3333333333333</v>
      </c>
      <c r="I141" s="15">
        <f t="shared" si="26"/>
        <v>36000</v>
      </c>
      <c r="J141" s="14">
        <f t="shared" si="27"/>
        <v>4320</v>
      </c>
      <c r="K141" s="15">
        <f t="shared" si="28"/>
        <v>270</v>
      </c>
      <c r="L141" s="15">
        <f t="shared" si="29"/>
        <v>31410</v>
      </c>
      <c r="M141" s="14"/>
      <c r="N141" s="14"/>
    </row>
    <row r="142" ht="14.25">
      <c r="A142" s="14">
        <v>140</v>
      </c>
      <c r="B142" s="14" t="str">
        <f t="shared" si="23"/>
        <v>Empl_140</v>
      </c>
      <c r="C142" s="14" t="s">
        <v>10</v>
      </c>
      <c r="D142" s="14">
        <v>29000</v>
      </c>
      <c r="E142" s="14">
        <f t="shared" ca="1" si="30"/>
        <v>30</v>
      </c>
      <c r="F142" s="14">
        <v>28</v>
      </c>
      <c r="G142" s="14">
        <f t="shared" si="24"/>
        <v>2</v>
      </c>
      <c r="H142" s="15">
        <f t="shared" si="25"/>
        <v>1035.7142857142858</v>
      </c>
      <c r="I142" s="15">
        <f t="shared" si="26"/>
        <v>29000</v>
      </c>
      <c r="J142" s="14">
        <f t="shared" si="27"/>
        <v>3480</v>
      </c>
      <c r="K142" s="15">
        <f t="shared" si="28"/>
        <v>217.5</v>
      </c>
      <c r="L142" s="15">
        <f t="shared" si="29"/>
        <v>25302.5</v>
      </c>
      <c r="M142" s="14"/>
      <c r="N142" s="14"/>
    </row>
    <row r="143" ht="14.25">
      <c r="A143" s="14">
        <v>141</v>
      </c>
      <c r="B143" s="14" t="str">
        <f t="shared" si="23"/>
        <v>Empl_141</v>
      </c>
      <c r="C143" s="14" t="s">
        <v>13</v>
      </c>
      <c r="D143" s="14">
        <v>43000</v>
      </c>
      <c r="E143" s="14">
        <f t="shared" ca="1" si="30"/>
        <v>30</v>
      </c>
      <c r="F143" s="14">
        <v>20</v>
      </c>
      <c r="G143" s="14">
        <f t="shared" si="24"/>
        <v>10</v>
      </c>
      <c r="H143" s="15">
        <f t="shared" si="25"/>
        <v>2150</v>
      </c>
      <c r="I143" s="15">
        <f t="shared" si="26"/>
        <v>43000</v>
      </c>
      <c r="J143" s="14">
        <f t="shared" si="27"/>
        <v>5160</v>
      </c>
      <c r="K143" s="15">
        <f t="shared" si="28"/>
        <v>322.5</v>
      </c>
      <c r="L143" s="15">
        <f t="shared" si="29"/>
        <v>37517.5</v>
      </c>
      <c r="M143" s="14"/>
      <c r="N143" s="14"/>
    </row>
    <row r="144" ht="14.25">
      <c r="A144" s="14">
        <v>142</v>
      </c>
      <c r="B144" s="14" t="str">
        <f t="shared" si="23"/>
        <v>Empl_142</v>
      </c>
      <c r="C144" s="14" t="s">
        <v>9</v>
      </c>
      <c r="D144" s="14">
        <v>37000</v>
      </c>
      <c r="E144" s="14">
        <f t="shared" ca="1" si="30"/>
        <v>30</v>
      </c>
      <c r="F144" s="14">
        <v>27</v>
      </c>
      <c r="G144" s="14">
        <f t="shared" si="24"/>
        <v>3</v>
      </c>
      <c r="H144" s="15">
        <f t="shared" si="25"/>
        <v>1370.3703703703704</v>
      </c>
      <c r="I144" s="15">
        <f t="shared" si="26"/>
        <v>37000</v>
      </c>
      <c r="J144" s="14">
        <f t="shared" si="27"/>
        <v>4440</v>
      </c>
      <c r="K144" s="15">
        <f t="shared" si="28"/>
        <v>277.5</v>
      </c>
      <c r="L144" s="15">
        <f t="shared" si="29"/>
        <v>32282.5</v>
      </c>
      <c r="M144" s="14"/>
      <c r="N144" s="14"/>
    </row>
    <row r="145" ht="14.25">
      <c r="A145" s="14">
        <v>143</v>
      </c>
      <c r="B145" s="14" t="str">
        <f t="shared" si="23"/>
        <v>Empl_143</v>
      </c>
      <c r="C145" s="14" t="s">
        <v>11</v>
      </c>
      <c r="D145" s="14">
        <v>35000</v>
      </c>
      <c r="E145" s="14">
        <f t="shared" ca="1" si="30"/>
        <v>30</v>
      </c>
      <c r="F145" s="14">
        <v>23</v>
      </c>
      <c r="G145" s="14">
        <f t="shared" si="24"/>
        <v>7</v>
      </c>
      <c r="H145" s="15">
        <f t="shared" si="25"/>
        <v>1521.7391304347825</v>
      </c>
      <c r="I145" s="15">
        <f t="shared" si="26"/>
        <v>35000</v>
      </c>
      <c r="J145" s="14">
        <f t="shared" si="27"/>
        <v>4200</v>
      </c>
      <c r="K145" s="15">
        <f t="shared" si="28"/>
        <v>262.5</v>
      </c>
      <c r="L145" s="15">
        <f t="shared" si="29"/>
        <v>30537.5</v>
      </c>
      <c r="M145" s="14"/>
      <c r="N145" s="14"/>
    </row>
    <row r="146" ht="14.25">
      <c r="A146" s="14">
        <v>144</v>
      </c>
      <c r="B146" s="14" t="str">
        <f t="shared" si="23"/>
        <v>Empl_144</v>
      </c>
      <c r="C146" s="14" t="s">
        <v>8</v>
      </c>
      <c r="D146" s="14">
        <v>56000</v>
      </c>
      <c r="E146" s="14">
        <f t="shared" ca="1" si="30"/>
        <v>30</v>
      </c>
      <c r="F146" s="14">
        <v>29</v>
      </c>
      <c r="G146" s="14">
        <f t="shared" si="24"/>
        <v>1</v>
      </c>
      <c r="H146" s="15">
        <f t="shared" si="25"/>
        <v>1931.0344827586207</v>
      </c>
      <c r="I146" s="15">
        <f t="shared" si="26"/>
        <v>56000</v>
      </c>
      <c r="J146" s="14">
        <f t="shared" si="27"/>
        <v>6720</v>
      </c>
      <c r="K146" s="15">
        <f t="shared" si="28"/>
        <v>420</v>
      </c>
      <c r="L146" s="15">
        <f t="shared" si="29"/>
        <v>48860</v>
      </c>
      <c r="M146" s="14"/>
      <c r="N146" s="14"/>
    </row>
    <row r="147" ht="14.25">
      <c r="A147" s="14">
        <v>145</v>
      </c>
      <c r="B147" s="14" t="str">
        <f t="shared" si="23"/>
        <v>Empl_145</v>
      </c>
      <c r="C147" s="14" t="s">
        <v>12</v>
      </c>
      <c r="D147" s="14">
        <v>21000</v>
      </c>
      <c r="E147" s="14">
        <f t="shared" ca="1" si="30"/>
        <v>30</v>
      </c>
      <c r="F147" s="14">
        <v>27</v>
      </c>
      <c r="G147" s="14">
        <f t="shared" si="24"/>
        <v>3</v>
      </c>
      <c r="H147" s="15">
        <f t="shared" si="25"/>
        <v>777.77777777777783</v>
      </c>
      <c r="I147" s="15">
        <f t="shared" si="26"/>
        <v>21000</v>
      </c>
      <c r="J147" s="14">
        <f t="shared" si="27"/>
        <v>2520</v>
      </c>
      <c r="K147" s="15">
        <f t="shared" si="28"/>
        <v>157.5</v>
      </c>
      <c r="L147" s="15">
        <f t="shared" si="29"/>
        <v>18322.5</v>
      </c>
      <c r="M147" s="14"/>
      <c r="N147" s="14"/>
    </row>
    <row r="148" ht="14.25">
      <c r="A148" s="14">
        <v>146</v>
      </c>
      <c r="B148" s="14" t="str">
        <f t="shared" si="23"/>
        <v>Empl_146</v>
      </c>
      <c r="C148" s="14" t="s">
        <v>10</v>
      </c>
      <c r="D148" s="14">
        <v>55000</v>
      </c>
      <c r="E148" s="14">
        <f t="shared" ca="1" si="30"/>
        <v>30</v>
      </c>
      <c r="F148" s="14">
        <v>29</v>
      </c>
      <c r="G148" s="14">
        <f t="shared" si="24"/>
        <v>1</v>
      </c>
      <c r="H148" s="15">
        <f t="shared" si="25"/>
        <v>1896.5517241379309</v>
      </c>
      <c r="I148" s="15">
        <f t="shared" si="26"/>
        <v>55000</v>
      </c>
      <c r="J148" s="14">
        <f t="shared" si="27"/>
        <v>6600</v>
      </c>
      <c r="K148" s="15">
        <f t="shared" si="28"/>
        <v>412.5</v>
      </c>
      <c r="L148" s="15">
        <f t="shared" si="29"/>
        <v>47987.5</v>
      </c>
      <c r="M148" s="14"/>
      <c r="N148" s="14"/>
    </row>
    <row r="149" ht="14.25">
      <c r="A149" s="14">
        <v>147</v>
      </c>
      <c r="B149" s="14" t="str">
        <f t="shared" si="23"/>
        <v>Empl_147</v>
      </c>
      <c r="C149" s="14" t="s">
        <v>13</v>
      </c>
      <c r="D149" s="14">
        <v>30000</v>
      </c>
      <c r="E149" s="14">
        <f t="shared" ca="1" si="30"/>
        <v>30</v>
      </c>
      <c r="F149" s="14">
        <v>30</v>
      </c>
      <c r="G149" s="14">
        <f t="shared" si="24"/>
        <v>0</v>
      </c>
      <c r="H149" s="15">
        <f t="shared" si="25"/>
        <v>1000</v>
      </c>
      <c r="I149" s="15">
        <f t="shared" si="26"/>
        <v>30000</v>
      </c>
      <c r="J149" s="14">
        <f t="shared" si="27"/>
        <v>3600</v>
      </c>
      <c r="K149" s="15">
        <f t="shared" si="28"/>
        <v>225</v>
      </c>
      <c r="L149" s="15">
        <f t="shared" si="29"/>
        <v>26175</v>
      </c>
      <c r="M149" s="14"/>
      <c r="N149" s="14"/>
    </row>
    <row r="150" ht="14.25">
      <c r="A150" s="14">
        <v>148</v>
      </c>
      <c r="B150" s="14" t="str">
        <f t="shared" si="23"/>
        <v>Empl_148</v>
      </c>
      <c r="C150" s="14" t="s">
        <v>9</v>
      </c>
      <c r="D150" s="14">
        <v>23000</v>
      </c>
      <c r="E150" s="14">
        <f t="shared" ca="1" si="30"/>
        <v>30</v>
      </c>
      <c r="F150" s="14">
        <v>24</v>
      </c>
      <c r="G150" s="14">
        <f t="shared" si="24"/>
        <v>6</v>
      </c>
      <c r="H150" s="15">
        <f t="shared" si="25"/>
        <v>958.33333333333337</v>
      </c>
      <c r="I150" s="15">
        <f t="shared" si="26"/>
        <v>23000</v>
      </c>
      <c r="J150" s="14">
        <f t="shared" si="27"/>
        <v>2760</v>
      </c>
      <c r="K150" s="15">
        <f t="shared" si="28"/>
        <v>172.5</v>
      </c>
      <c r="L150" s="15">
        <f t="shared" si="29"/>
        <v>20067.5</v>
      </c>
      <c r="M150" s="14"/>
      <c r="N150" s="14"/>
    </row>
    <row r="151" ht="14.25">
      <c r="A151" s="14">
        <v>149</v>
      </c>
      <c r="B151" s="14" t="str">
        <f t="shared" si="23"/>
        <v>Empl_149</v>
      </c>
      <c r="C151" s="14" t="s">
        <v>11</v>
      </c>
      <c r="D151" s="14">
        <v>52000</v>
      </c>
      <c r="E151" s="14">
        <f t="shared" ca="1" si="30"/>
        <v>30</v>
      </c>
      <c r="F151" s="14">
        <v>29</v>
      </c>
      <c r="G151" s="14">
        <f t="shared" si="24"/>
        <v>1</v>
      </c>
      <c r="H151" s="15">
        <f t="shared" si="25"/>
        <v>1793.1034482758621</v>
      </c>
      <c r="I151" s="15">
        <f t="shared" si="26"/>
        <v>52000</v>
      </c>
      <c r="J151" s="14">
        <f t="shared" si="27"/>
        <v>6240</v>
      </c>
      <c r="K151" s="15">
        <f t="shared" si="28"/>
        <v>390</v>
      </c>
      <c r="L151" s="15">
        <f t="shared" si="29"/>
        <v>45370</v>
      </c>
      <c r="M151" s="14"/>
      <c r="N151" s="14"/>
    </row>
    <row r="152" ht="14.25">
      <c r="A152" s="14">
        <v>150</v>
      </c>
      <c r="B152" s="14" t="str">
        <f t="shared" si="23"/>
        <v>Empl_150</v>
      </c>
      <c r="C152" s="14" t="s">
        <v>8</v>
      </c>
      <c r="D152" s="14">
        <v>31000</v>
      </c>
      <c r="E152" s="14">
        <f t="shared" ca="1" si="30"/>
        <v>30</v>
      </c>
      <c r="F152" s="14">
        <v>25</v>
      </c>
      <c r="G152" s="14">
        <f t="shared" si="24"/>
        <v>5</v>
      </c>
      <c r="H152" s="15">
        <f t="shared" si="25"/>
        <v>1240</v>
      </c>
      <c r="I152" s="15">
        <f t="shared" si="26"/>
        <v>31000</v>
      </c>
      <c r="J152" s="14">
        <f t="shared" si="27"/>
        <v>3720</v>
      </c>
      <c r="K152" s="15">
        <f t="shared" si="28"/>
        <v>232.5</v>
      </c>
      <c r="L152" s="15">
        <f t="shared" si="29"/>
        <v>27047.5</v>
      </c>
      <c r="M152" s="14"/>
      <c r="N152" s="14"/>
    </row>
    <row r="153" ht="14.25">
      <c r="A153" s="14">
        <v>151</v>
      </c>
      <c r="B153" s="14" t="str">
        <f t="shared" si="23"/>
        <v>Empl_151</v>
      </c>
      <c r="C153" s="14" t="s">
        <v>12</v>
      </c>
      <c r="D153" s="14">
        <v>31000</v>
      </c>
      <c r="E153" s="14">
        <f t="shared" ca="1" si="30"/>
        <v>30</v>
      </c>
      <c r="F153" s="14">
        <v>27</v>
      </c>
      <c r="G153" s="14">
        <f t="shared" si="24"/>
        <v>3</v>
      </c>
      <c r="H153" s="15">
        <f t="shared" si="25"/>
        <v>1148.148148148148</v>
      </c>
      <c r="I153" s="15">
        <f t="shared" si="26"/>
        <v>30999.999999999996</v>
      </c>
      <c r="J153" s="14">
        <f t="shared" si="27"/>
        <v>3719.9999999999995</v>
      </c>
      <c r="K153" s="15">
        <f t="shared" si="28"/>
        <v>232.49999999999997</v>
      </c>
      <c r="L153" s="15">
        <f t="shared" si="29"/>
        <v>27047.499999999996</v>
      </c>
      <c r="M153" s="14"/>
      <c r="N153" s="14"/>
    </row>
    <row r="154" ht="14.25">
      <c r="A154" s="14">
        <v>152</v>
      </c>
      <c r="B154" s="14" t="str">
        <f t="shared" si="23"/>
        <v>Empl_152</v>
      </c>
      <c r="C154" s="14" t="s">
        <v>10</v>
      </c>
      <c r="D154" s="14">
        <v>48000</v>
      </c>
      <c r="E154" s="14">
        <f t="shared" ca="1" si="30"/>
        <v>30</v>
      </c>
      <c r="F154" s="14">
        <v>22</v>
      </c>
      <c r="G154" s="14">
        <f t="shared" si="24"/>
        <v>8</v>
      </c>
      <c r="H154" s="15">
        <f t="shared" si="25"/>
        <v>2181.818181818182</v>
      </c>
      <c r="I154" s="15">
        <f t="shared" si="26"/>
        <v>48000</v>
      </c>
      <c r="J154" s="14">
        <f t="shared" si="27"/>
        <v>5760</v>
      </c>
      <c r="K154" s="15">
        <f t="shared" si="28"/>
        <v>360</v>
      </c>
      <c r="L154" s="15">
        <f t="shared" si="29"/>
        <v>41880</v>
      </c>
      <c r="M154" s="14"/>
      <c r="N154" s="14"/>
    </row>
    <row r="155" ht="14.25">
      <c r="A155" s="14">
        <v>153</v>
      </c>
      <c r="B155" s="14" t="str">
        <f t="shared" si="23"/>
        <v>Empl_153</v>
      </c>
      <c r="C155" s="14" t="s">
        <v>13</v>
      </c>
      <c r="D155" s="14">
        <v>21000</v>
      </c>
      <c r="E155" s="14">
        <f t="shared" ca="1" si="30"/>
        <v>30</v>
      </c>
      <c r="F155" s="14">
        <v>25</v>
      </c>
      <c r="G155" s="14">
        <f t="shared" si="24"/>
        <v>5</v>
      </c>
      <c r="H155" s="15">
        <f t="shared" si="25"/>
        <v>840</v>
      </c>
      <c r="I155" s="15">
        <f t="shared" si="26"/>
        <v>21000</v>
      </c>
      <c r="J155" s="14">
        <f t="shared" si="27"/>
        <v>2520</v>
      </c>
      <c r="K155" s="15">
        <f t="shared" si="28"/>
        <v>157.5</v>
      </c>
      <c r="L155" s="15">
        <f t="shared" si="29"/>
        <v>18322.5</v>
      </c>
      <c r="M155" s="14"/>
      <c r="N155" s="14"/>
    </row>
    <row r="156" ht="14.25">
      <c r="A156" s="14">
        <v>154</v>
      </c>
      <c r="B156" s="14" t="str">
        <f t="shared" si="23"/>
        <v>Empl_154</v>
      </c>
      <c r="C156" s="14" t="s">
        <v>9</v>
      </c>
      <c r="D156" s="14">
        <v>36000</v>
      </c>
      <c r="E156" s="14">
        <f t="shared" ca="1" si="30"/>
        <v>30</v>
      </c>
      <c r="F156" s="14">
        <v>29</v>
      </c>
      <c r="G156" s="14">
        <f t="shared" si="24"/>
        <v>1</v>
      </c>
      <c r="H156" s="15">
        <f t="shared" si="25"/>
        <v>1241.3793103448277</v>
      </c>
      <c r="I156" s="15">
        <f t="shared" si="26"/>
        <v>36000</v>
      </c>
      <c r="J156" s="14">
        <f t="shared" si="27"/>
        <v>4320</v>
      </c>
      <c r="K156" s="15">
        <f t="shared" si="28"/>
        <v>270</v>
      </c>
      <c r="L156" s="15">
        <f t="shared" si="29"/>
        <v>31410</v>
      </c>
      <c r="M156" s="14"/>
      <c r="N156" s="14"/>
    </row>
    <row r="157" ht="14.25">
      <c r="A157" s="14">
        <v>155</v>
      </c>
      <c r="B157" s="14" t="str">
        <f t="shared" si="23"/>
        <v>Empl_155</v>
      </c>
      <c r="C157" s="14" t="s">
        <v>11</v>
      </c>
      <c r="D157" s="14">
        <v>37000</v>
      </c>
      <c r="E157" s="14">
        <f t="shared" ca="1" si="30"/>
        <v>30</v>
      </c>
      <c r="F157" s="14">
        <v>26</v>
      </c>
      <c r="G157" s="14">
        <f t="shared" si="24"/>
        <v>4</v>
      </c>
      <c r="H157" s="15">
        <f t="shared" si="25"/>
        <v>1423.0769230769231</v>
      </c>
      <c r="I157" s="15">
        <f t="shared" si="26"/>
        <v>37000</v>
      </c>
      <c r="J157" s="14">
        <f t="shared" si="27"/>
        <v>4440</v>
      </c>
      <c r="K157" s="15">
        <f t="shared" si="28"/>
        <v>277.5</v>
      </c>
      <c r="L157" s="15">
        <f t="shared" si="29"/>
        <v>32282.5</v>
      </c>
      <c r="M157" s="14"/>
      <c r="N157" s="14"/>
    </row>
    <row r="158" ht="14.25">
      <c r="A158" s="14">
        <v>156</v>
      </c>
      <c r="B158" s="14" t="str">
        <f t="shared" si="23"/>
        <v>Empl_156</v>
      </c>
      <c r="C158" s="14" t="s">
        <v>8</v>
      </c>
      <c r="D158" s="14">
        <v>22000</v>
      </c>
      <c r="E158" s="14">
        <f t="shared" ca="1" si="30"/>
        <v>30</v>
      </c>
      <c r="F158" s="14">
        <v>28</v>
      </c>
      <c r="G158" s="14">
        <f t="shared" si="24"/>
        <v>2</v>
      </c>
      <c r="H158" s="15">
        <f t="shared" si="25"/>
        <v>785.71428571428567</v>
      </c>
      <c r="I158" s="15">
        <f t="shared" si="26"/>
        <v>22000</v>
      </c>
      <c r="J158" s="14">
        <f t="shared" si="27"/>
        <v>2640</v>
      </c>
      <c r="K158" s="15">
        <f t="shared" si="28"/>
        <v>165</v>
      </c>
      <c r="L158" s="15">
        <f t="shared" si="29"/>
        <v>19195</v>
      </c>
      <c r="M158" s="14"/>
      <c r="N158" s="14"/>
    </row>
    <row r="159" ht="14.25">
      <c r="A159" s="14">
        <v>157</v>
      </c>
      <c r="B159" s="14" t="str">
        <f t="shared" si="23"/>
        <v>Empl_157</v>
      </c>
      <c r="C159" s="14" t="s">
        <v>12</v>
      </c>
      <c r="D159" s="14">
        <v>50000</v>
      </c>
      <c r="E159" s="14">
        <f t="shared" ca="1" si="30"/>
        <v>30</v>
      </c>
      <c r="F159" s="14">
        <v>22</v>
      </c>
      <c r="G159" s="14">
        <f t="shared" si="24"/>
        <v>8</v>
      </c>
      <c r="H159" s="15">
        <f t="shared" si="25"/>
        <v>2272.7272727272725</v>
      </c>
      <c r="I159" s="15">
        <f t="shared" si="26"/>
        <v>49999.999999999993</v>
      </c>
      <c r="J159" s="14">
        <f t="shared" si="27"/>
        <v>5999.9999999999991</v>
      </c>
      <c r="K159" s="15">
        <f t="shared" si="28"/>
        <v>374.99999999999994</v>
      </c>
      <c r="L159" s="15">
        <f t="shared" si="29"/>
        <v>43624.999999999993</v>
      </c>
      <c r="M159" s="14"/>
      <c r="N159" s="14"/>
    </row>
    <row r="160" ht="14.25">
      <c r="A160" s="14">
        <v>158</v>
      </c>
      <c r="B160" s="14" t="str">
        <f t="shared" si="23"/>
        <v>Empl_158</v>
      </c>
      <c r="C160" s="14" t="s">
        <v>10</v>
      </c>
      <c r="D160" s="14">
        <v>26000</v>
      </c>
      <c r="E160" s="14">
        <f t="shared" ca="1" si="30"/>
        <v>30</v>
      </c>
      <c r="F160" s="14">
        <v>22</v>
      </c>
      <c r="G160" s="14">
        <f t="shared" si="24"/>
        <v>8</v>
      </c>
      <c r="H160" s="15">
        <f t="shared" si="25"/>
        <v>1181.8181818181818</v>
      </c>
      <c r="I160" s="15">
        <f t="shared" si="26"/>
        <v>26000</v>
      </c>
      <c r="J160" s="14">
        <f t="shared" si="27"/>
        <v>3120</v>
      </c>
      <c r="K160" s="15">
        <f t="shared" si="28"/>
        <v>195</v>
      </c>
      <c r="L160" s="15">
        <f t="shared" si="29"/>
        <v>22685</v>
      </c>
      <c r="M160" s="14"/>
      <c r="N160" s="14"/>
    </row>
    <row r="161" ht="14.25">
      <c r="A161" s="14">
        <v>159</v>
      </c>
      <c r="B161" s="14" t="str">
        <f t="shared" si="23"/>
        <v>Empl_159</v>
      </c>
      <c r="C161" s="14" t="s">
        <v>13</v>
      </c>
      <c r="D161" s="14">
        <v>45000</v>
      </c>
      <c r="E161" s="14">
        <f t="shared" ca="1" si="30"/>
        <v>30</v>
      </c>
      <c r="F161" s="14">
        <v>23</v>
      </c>
      <c r="G161" s="14">
        <f t="shared" si="24"/>
        <v>7</v>
      </c>
      <c r="H161" s="15">
        <f t="shared" si="25"/>
        <v>1956.5217391304348</v>
      </c>
      <c r="I161" s="15">
        <f t="shared" si="26"/>
        <v>45000</v>
      </c>
      <c r="J161" s="14">
        <f t="shared" si="27"/>
        <v>5400</v>
      </c>
      <c r="K161" s="15">
        <f t="shared" si="28"/>
        <v>337.5</v>
      </c>
      <c r="L161" s="15">
        <f t="shared" si="29"/>
        <v>39262.5</v>
      </c>
      <c r="M161" s="14"/>
      <c r="N161" s="14"/>
    </row>
    <row r="162" ht="14.25">
      <c r="A162" s="14">
        <v>160</v>
      </c>
      <c r="B162" s="14" t="str">
        <f t="shared" si="23"/>
        <v>Empl_160</v>
      </c>
      <c r="C162" s="14" t="s">
        <v>9</v>
      </c>
      <c r="D162" s="14">
        <v>39000</v>
      </c>
      <c r="E162" s="14">
        <f t="shared" ca="1" si="30"/>
        <v>30</v>
      </c>
      <c r="F162" s="14">
        <v>26</v>
      </c>
      <c r="G162" s="14">
        <f t="shared" si="24"/>
        <v>4</v>
      </c>
      <c r="H162" s="15">
        <f t="shared" si="25"/>
        <v>1500</v>
      </c>
      <c r="I162" s="15">
        <f t="shared" si="26"/>
        <v>39000</v>
      </c>
      <c r="J162" s="14">
        <f t="shared" si="27"/>
        <v>4680</v>
      </c>
      <c r="K162" s="15">
        <f t="shared" si="28"/>
        <v>292.5</v>
      </c>
      <c r="L162" s="15">
        <f t="shared" si="29"/>
        <v>34027.5</v>
      </c>
      <c r="M162" s="14"/>
      <c r="N162" s="14"/>
    </row>
    <row r="163" ht="14.25">
      <c r="A163" s="14">
        <v>161</v>
      </c>
      <c r="B163" s="14" t="str">
        <f t="shared" si="23"/>
        <v>Empl_161</v>
      </c>
      <c r="C163" s="14" t="s">
        <v>11</v>
      </c>
      <c r="D163" s="14">
        <v>19000</v>
      </c>
      <c r="E163" s="14">
        <f t="shared" ca="1" si="30"/>
        <v>30</v>
      </c>
      <c r="F163" s="14">
        <v>22</v>
      </c>
      <c r="G163" s="14">
        <f t="shared" si="24"/>
        <v>8</v>
      </c>
      <c r="H163" s="15">
        <f t="shared" si="25"/>
        <v>863.63636363636363</v>
      </c>
      <c r="I163" s="15">
        <f t="shared" si="26"/>
        <v>19000</v>
      </c>
      <c r="J163" s="14">
        <f t="shared" si="27"/>
        <v>2280</v>
      </c>
      <c r="K163" s="15">
        <f t="shared" si="28"/>
        <v>142.5</v>
      </c>
      <c r="L163" s="15">
        <f t="shared" si="29"/>
        <v>16577.5</v>
      </c>
      <c r="M163" s="14"/>
      <c r="N163" s="14"/>
    </row>
    <row r="164" ht="14.25">
      <c r="A164" s="14">
        <v>162</v>
      </c>
      <c r="B164" s="14" t="str">
        <f t="shared" ref="B164:B227" si="31">"Empl_"&amp;A164</f>
        <v>Empl_162</v>
      </c>
      <c r="C164" s="14" t="s">
        <v>8</v>
      </c>
      <c r="D164" s="14">
        <v>31000</v>
      </c>
      <c r="E164" s="14">
        <f t="shared" ca="1" si="30"/>
        <v>30</v>
      </c>
      <c r="F164" s="14">
        <v>30</v>
      </c>
      <c r="G164" s="14">
        <f t="shared" ref="G164:G227" si="32">E164-F164</f>
        <v>0</v>
      </c>
      <c r="H164" s="15">
        <f t="shared" ref="H164:H227" si="33">D164/F164</f>
        <v>1033.3333333333333</v>
      </c>
      <c r="I164" s="15">
        <f t="shared" ref="I164:I227" si="34">H164*F164</f>
        <v>30999.999999999996</v>
      </c>
      <c r="J164" s="14">
        <f t="shared" ref="J164:J227" si="35">I164*12%</f>
        <v>3719.9999999999995</v>
      </c>
      <c r="K164" s="15">
        <f t="shared" ref="K164:K227" si="36">I164*0.75%</f>
        <v>232.49999999999997</v>
      </c>
      <c r="L164" s="15">
        <f t="shared" ref="L164:L227" si="37">I164-(J164+K164)</f>
        <v>27047.499999999996</v>
      </c>
      <c r="M164" s="14"/>
      <c r="N164" s="14"/>
    </row>
    <row r="165" ht="14.25">
      <c r="A165" s="14">
        <v>163</v>
      </c>
      <c r="B165" s="14" t="str">
        <f t="shared" si="31"/>
        <v>Empl_163</v>
      </c>
      <c r="C165" s="14" t="s">
        <v>12</v>
      </c>
      <c r="D165" s="14">
        <v>46000</v>
      </c>
      <c r="E165" s="14">
        <f t="shared" ca="1" si="30"/>
        <v>30</v>
      </c>
      <c r="F165" s="14">
        <v>25</v>
      </c>
      <c r="G165" s="14">
        <f t="shared" si="32"/>
        <v>5</v>
      </c>
      <c r="H165" s="15">
        <f t="shared" si="33"/>
        <v>1840</v>
      </c>
      <c r="I165" s="15">
        <f t="shared" si="34"/>
        <v>46000</v>
      </c>
      <c r="J165" s="14">
        <f t="shared" si="35"/>
        <v>5520</v>
      </c>
      <c r="K165" s="15">
        <f t="shared" si="36"/>
        <v>345</v>
      </c>
      <c r="L165" s="15">
        <f t="shared" si="37"/>
        <v>40135</v>
      </c>
      <c r="M165" s="14"/>
      <c r="N165" s="14"/>
    </row>
    <row r="166" ht="14.25">
      <c r="A166" s="14">
        <v>164</v>
      </c>
      <c r="B166" s="14" t="str">
        <f t="shared" si="31"/>
        <v>Empl_164</v>
      </c>
      <c r="C166" s="14" t="s">
        <v>10</v>
      </c>
      <c r="D166" s="14">
        <v>28000</v>
      </c>
      <c r="E166" s="14">
        <f t="shared" ca="1" si="30"/>
        <v>30</v>
      </c>
      <c r="F166" s="14">
        <v>28</v>
      </c>
      <c r="G166" s="14">
        <f t="shared" si="32"/>
        <v>2</v>
      </c>
      <c r="H166" s="15">
        <f t="shared" si="33"/>
        <v>1000</v>
      </c>
      <c r="I166" s="15">
        <f t="shared" si="34"/>
        <v>28000</v>
      </c>
      <c r="J166" s="14">
        <f t="shared" si="35"/>
        <v>3360</v>
      </c>
      <c r="K166" s="15">
        <f t="shared" si="36"/>
        <v>210</v>
      </c>
      <c r="L166" s="15">
        <f t="shared" si="37"/>
        <v>24430</v>
      </c>
      <c r="M166" s="14"/>
      <c r="N166" s="14"/>
    </row>
    <row r="167" ht="14.25">
      <c r="A167" s="14">
        <v>165</v>
      </c>
      <c r="B167" s="14" t="str">
        <f t="shared" si="31"/>
        <v>Empl_165</v>
      </c>
      <c r="C167" s="14" t="s">
        <v>13</v>
      </c>
      <c r="D167" s="14">
        <v>33000</v>
      </c>
      <c r="E167" s="14">
        <f t="shared" ca="1" si="30"/>
        <v>30</v>
      </c>
      <c r="F167" s="14">
        <v>29</v>
      </c>
      <c r="G167" s="14">
        <f t="shared" si="32"/>
        <v>1</v>
      </c>
      <c r="H167" s="15">
        <f t="shared" si="33"/>
        <v>1137.9310344827586</v>
      </c>
      <c r="I167" s="15">
        <f t="shared" si="34"/>
        <v>33000</v>
      </c>
      <c r="J167" s="14">
        <f t="shared" si="35"/>
        <v>3960</v>
      </c>
      <c r="K167" s="15">
        <f t="shared" si="36"/>
        <v>247.5</v>
      </c>
      <c r="L167" s="15">
        <f t="shared" si="37"/>
        <v>28792.5</v>
      </c>
      <c r="M167" s="14"/>
      <c r="N167" s="14"/>
    </row>
    <row r="168" ht="14.25">
      <c r="A168" s="14">
        <v>166</v>
      </c>
      <c r="B168" s="14" t="str">
        <f t="shared" si="31"/>
        <v>Empl_166</v>
      </c>
      <c r="C168" s="14" t="s">
        <v>9</v>
      </c>
      <c r="D168" s="14">
        <v>32000</v>
      </c>
      <c r="E168" s="14">
        <f t="shared" ca="1" si="30"/>
        <v>30</v>
      </c>
      <c r="F168" s="14">
        <v>23</v>
      </c>
      <c r="G168" s="14">
        <f t="shared" si="32"/>
        <v>7</v>
      </c>
      <c r="H168" s="15">
        <f t="shared" si="33"/>
        <v>1391.304347826087</v>
      </c>
      <c r="I168" s="15">
        <f t="shared" si="34"/>
        <v>32000</v>
      </c>
      <c r="J168" s="14">
        <f t="shared" si="35"/>
        <v>3840</v>
      </c>
      <c r="K168" s="15">
        <f t="shared" si="36"/>
        <v>240</v>
      </c>
      <c r="L168" s="15">
        <f t="shared" si="37"/>
        <v>27920</v>
      </c>
      <c r="M168" s="14"/>
      <c r="N168" s="14"/>
    </row>
    <row r="169" ht="14.25">
      <c r="A169" s="14">
        <v>167</v>
      </c>
      <c r="B169" s="14" t="str">
        <f t="shared" si="31"/>
        <v>Empl_167</v>
      </c>
      <c r="C169" s="14" t="s">
        <v>11</v>
      </c>
      <c r="D169" s="14">
        <v>52000</v>
      </c>
      <c r="E169" s="14">
        <f t="shared" ca="1" si="30"/>
        <v>30</v>
      </c>
      <c r="F169" s="14">
        <v>26</v>
      </c>
      <c r="G169" s="14">
        <f t="shared" si="32"/>
        <v>4</v>
      </c>
      <c r="H169" s="15">
        <f t="shared" si="33"/>
        <v>2000</v>
      </c>
      <c r="I169" s="15">
        <f t="shared" si="34"/>
        <v>52000</v>
      </c>
      <c r="J169" s="14">
        <f t="shared" si="35"/>
        <v>6240</v>
      </c>
      <c r="K169" s="15">
        <f t="shared" si="36"/>
        <v>390</v>
      </c>
      <c r="L169" s="15">
        <f t="shared" si="37"/>
        <v>45370</v>
      </c>
      <c r="M169" s="14"/>
      <c r="N169" s="14"/>
    </row>
    <row r="170" ht="14.25">
      <c r="A170" s="14">
        <v>168</v>
      </c>
      <c r="B170" s="14" t="str">
        <f t="shared" si="31"/>
        <v>Empl_168</v>
      </c>
      <c r="C170" s="14" t="s">
        <v>8</v>
      </c>
      <c r="D170" s="14">
        <v>27000</v>
      </c>
      <c r="E170" s="14">
        <f t="shared" ca="1" si="30"/>
        <v>30</v>
      </c>
      <c r="F170" s="14">
        <v>26</v>
      </c>
      <c r="G170" s="14">
        <f t="shared" si="32"/>
        <v>4</v>
      </c>
      <c r="H170" s="15">
        <f t="shared" si="33"/>
        <v>1038.4615384615386</v>
      </c>
      <c r="I170" s="15">
        <f t="shared" si="34"/>
        <v>27000.000000000004</v>
      </c>
      <c r="J170" s="14">
        <f t="shared" si="35"/>
        <v>3240.0000000000005</v>
      </c>
      <c r="K170" s="15">
        <f t="shared" si="36"/>
        <v>202.50000000000003</v>
      </c>
      <c r="L170" s="15">
        <f t="shared" si="37"/>
        <v>23557.500000000004</v>
      </c>
      <c r="M170" s="14"/>
      <c r="N170" s="14"/>
    </row>
    <row r="171" ht="14.25">
      <c r="A171" s="14">
        <v>169</v>
      </c>
      <c r="B171" s="14" t="str">
        <f t="shared" si="31"/>
        <v>Empl_169</v>
      </c>
      <c r="C171" s="14" t="s">
        <v>12</v>
      </c>
      <c r="D171" s="14">
        <v>57000</v>
      </c>
      <c r="E171" s="14">
        <f t="shared" ca="1" si="30"/>
        <v>30</v>
      </c>
      <c r="F171" s="14">
        <v>28</v>
      </c>
      <c r="G171" s="14">
        <f t="shared" si="32"/>
        <v>2</v>
      </c>
      <c r="H171" s="15">
        <f t="shared" si="33"/>
        <v>2035.7142857142858</v>
      </c>
      <c r="I171" s="15">
        <f t="shared" si="34"/>
        <v>57000</v>
      </c>
      <c r="J171" s="14">
        <f t="shared" si="35"/>
        <v>6840</v>
      </c>
      <c r="K171" s="15">
        <f t="shared" si="36"/>
        <v>427.5</v>
      </c>
      <c r="L171" s="15">
        <f t="shared" si="37"/>
        <v>49732.5</v>
      </c>
      <c r="M171" s="14"/>
      <c r="N171" s="14"/>
    </row>
    <row r="172" ht="14.25">
      <c r="A172" s="14">
        <v>170</v>
      </c>
      <c r="B172" s="14" t="str">
        <f t="shared" si="31"/>
        <v>Empl_170</v>
      </c>
      <c r="C172" s="14" t="s">
        <v>10</v>
      </c>
      <c r="D172" s="14">
        <v>31000</v>
      </c>
      <c r="E172" s="14">
        <f t="shared" ca="1" si="30"/>
        <v>30</v>
      </c>
      <c r="F172" s="14">
        <v>26</v>
      </c>
      <c r="G172" s="14">
        <f t="shared" si="32"/>
        <v>4</v>
      </c>
      <c r="H172" s="15">
        <f t="shared" si="33"/>
        <v>1192.3076923076924</v>
      </c>
      <c r="I172" s="15">
        <f t="shared" si="34"/>
        <v>31000</v>
      </c>
      <c r="J172" s="14">
        <f t="shared" si="35"/>
        <v>3720</v>
      </c>
      <c r="K172" s="15">
        <f t="shared" si="36"/>
        <v>232.5</v>
      </c>
      <c r="L172" s="15">
        <f t="shared" si="37"/>
        <v>27047.5</v>
      </c>
      <c r="M172" s="14"/>
      <c r="N172" s="14"/>
    </row>
    <row r="173" ht="14.25">
      <c r="A173" s="14">
        <v>171</v>
      </c>
      <c r="B173" s="14" t="str">
        <f t="shared" si="31"/>
        <v>Empl_171</v>
      </c>
      <c r="C173" s="14" t="s">
        <v>13</v>
      </c>
      <c r="D173" s="14">
        <v>23000</v>
      </c>
      <c r="E173" s="14">
        <f t="shared" ca="1" si="30"/>
        <v>30</v>
      </c>
      <c r="F173" s="14">
        <v>29</v>
      </c>
      <c r="G173" s="14">
        <f t="shared" si="32"/>
        <v>1</v>
      </c>
      <c r="H173" s="15">
        <f t="shared" si="33"/>
        <v>793.10344827586209</v>
      </c>
      <c r="I173" s="15">
        <f t="shared" si="34"/>
        <v>23000</v>
      </c>
      <c r="J173" s="14">
        <f t="shared" si="35"/>
        <v>2760</v>
      </c>
      <c r="K173" s="15">
        <f t="shared" si="36"/>
        <v>172.5</v>
      </c>
      <c r="L173" s="15">
        <f t="shared" si="37"/>
        <v>20067.5</v>
      </c>
      <c r="M173" s="14"/>
      <c r="N173" s="14"/>
    </row>
    <row r="174" ht="14.25">
      <c r="A174" s="14">
        <v>172</v>
      </c>
      <c r="B174" s="14" t="str">
        <f t="shared" si="31"/>
        <v>Empl_172</v>
      </c>
      <c r="C174" s="14" t="s">
        <v>9</v>
      </c>
      <c r="D174" s="14">
        <v>24000</v>
      </c>
      <c r="E174" s="14">
        <f t="shared" ca="1" si="30"/>
        <v>30</v>
      </c>
      <c r="F174" s="14">
        <v>26</v>
      </c>
      <c r="G174" s="14">
        <f t="shared" si="32"/>
        <v>4</v>
      </c>
      <c r="H174" s="15">
        <f t="shared" si="33"/>
        <v>923.07692307692309</v>
      </c>
      <c r="I174" s="15">
        <f t="shared" si="34"/>
        <v>24000</v>
      </c>
      <c r="J174" s="14">
        <f t="shared" si="35"/>
        <v>2880</v>
      </c>
      <c r="K174" s="15">
        <f t="shared" si="36"/>
        <v>180</v>
      </c>
      <c r="L174" s="15">
        <f t="shared" si="37"/>
        <v>20940</v>
      </c>
      <c r="M174" s="14"/>
      <c r="N174" s="14"/>
    </row>
    <row r="175" ht="14.25">
      <c r="A175" s="14">
        <v>173</v>
      </c>
      <c r="B175" s="14" t="str">
        <f t="shared" si="31"/>
        <v>Empl_173</v>
      </c>
      <c r="C175" s="14" t="s">
        <v>11</v>
      </c>
      <c r="D175" s="14">
        <v>53000</v>
      </c>
      <c r="E175" s="14">
        <f t="shared" ca="1" si="30"/>
        <v>30</v>
      </c>
      <c r="F175" s="14">
        <v>30</v>
      </c>
      <c r="G175" s="14">
        <f t="shared" si="32"/>
        <v>0</v>
      </c>
      <c r="H175" s="15">
        <f t="shared" si="33"/>
        <v>1766.6666666666667</v>
      </c>
      <c r="I175" s="15">
        <f t="shared" si="34"/>
        <v>53000</v>
      </c>
      <c r="J175" s="14">
        <f t="shared" si="35"/>
        <v>6360</v>
      </c>
      <c r="K175" s="15">
        <f t="shared" si="36"/>
        <v>397.5</v>
      </c>
      <c r="L175" s="15">
        <f t="shared" si="37"/>
        <v>46242.5</v>
      </c>
      <c r="M175" s="14"/>
      <c r="N175" s="14"/>
    </row>
    <row r="176" ht="14.25">
      <c r="A176" s="14">
        <v>174</v>
      </c>
      <c r="B176" s="14" t="str">
        <f t="shared" si="31"/>
        <v>Empl_174</v>
      </c>
      <c r="C176" s="14" t="s">
        <v>8</v>
      </c>
      <c r="D176" s="14">
        <v>51000</v>
      </c>
      <c r="E176" s="14">
        <f t="shared" ca="1" si="30"/>
        <v>30</v>
      </c>
      <c r="F176" s="14">
        <v>22</v>
      </c>
      <c r="G176" s="14">
        <f t="shared" si="32"/>
        <v>8</v>
      </c>
      <c r="H176" s="15">
        <f t="shared" si="33"/>
        <v>2318.181818181818</v>
      </c>
      <c r="I176" s="15">
        <f t="shared" si="34"/>
        <v>51000</v>
      </c>
      <c r="J176" s="14">
        <f t="shared" si="35"/>
        <v>6120</v>
      </c>
      <c r="K176" s="15">
        <f t="shared" si="36"/>
        <v>382.5</v>
      </c>
      <c r="L176" s="15">
        <f t="shared" si="37"/>
        <v>44497.5</v>
      </c>
      <c r="M176" s="14"/>
      <c r="N176" s="14"/>
    </row>
    <row r="177" ht="14.25">
      <c r="A177" s="14">
        <v>175</v>
      </c>
      <c r="B177" s="14" t="str">
        <f t="shared" si="31"/>
        <v>Empl_175</v>
      </c>
      <c r="C177" s="14" t="s">
        <v>12</v>
      </c>
      <c r="D177" s="14">
        <v>43000</v>
      </c>
      <c r="E177" s="14">
        <f t="shared" ca="1" si="30"/>
        <v>30</v>
      </c>
      <c r="F177" s="14">
        <v>26</v>
      </c>
      <c r="G177" s="14">
        <f t="shared" si="32"/>
        <v>4</v>
      </c>
      <c r="H177" s="15">
        <f t="shared" si="33"/>
        <v>1653.8461538461538</v>
      </c>
      <c r="I177" s="15">
        <f t="shared" si="34"/>
        <v>43000</v>
      </c>
      <c r="J177" s="14">
        <f t="shared" si="35"/>
        <v>5160</v>
      </c>
      <c r="K177" s="15">
        <f t="shared" si="36"/>
        <v>322.5</v>
      </c>
      <c r="L177" s="15">
        <f t="shared" si="37"/>
        <v>37517.5</v>
      </c>
      <c r="M177" s="14"/>
      <c r="N177" s="14"/>
    </row>
    <row r="178" ht="14.25">
      <c r="A178" s="14">
        <v>176</v>
      </c>
      <c r="B178" s="14" t="str">
        <f t="shared" si="31"/>
        <v>Empl_176</v>
      </c>
      <c r="C178" s="14" t="s">
        <v>10</v>
      </c>
      <c r="D178" s="14">
        <v>60000</v>
      </c>
      <c r="E178" s="14">
        <f t="shared" ca="1" si="30"/>
        <v>30</v>
      </c>
      <c r="F178" s="14">
        <v>30</v>
      </c>
      <c r="G178" s="14">
        <f t="shared" si="32"/>
        <v>0</v>
      </c>
      <c r="H178" s="15">
        <f t="shared" si="33"/>
        <v>2000</v>
      </c>
      <c r="I178" s="15">
        <f t="shared" si="34"/>
        <v>60000</v>
      </c>
      <c r="J178" s="14">
        <f t="shared" si="35"/>
        <v>7200</v>
      </c>
      <c r="K178" s="15">
        <f t="shared" si="36"/>
        <v>450</v>
      </c>
      <c r="L178" s="15">
        <f t="shared" si="37"/>
        <v>52350</v>
      </c>
      <c r="M178" s="14"/>
      <c r="N178" s="14"/>
    </row>
    <row r="179" ht="14.25">
      <c r="A179" s="14">
        <v>177</v>
      </c>
      <c r="B179" s="14" t="str">
        <f t="shared" si="31"/>
        <v>Empl_177</v>
      </c>
      <c r="C179" s="14" t="s">
        <v>13</v>
      </c>
      <c r="D179" s="14">
        <v>29000</v>
      </c>
      <c r="E179" s="14">
        <f t="shared" ca="1" si="30"/>
        <v>30</v>
      </c>
      <c r="F179" s="14">
        <v>20</v>
      </c>
      <c r="G179" s="14">
        <f t="shared" si="32"/>
        <v>10</v>
      </c>
      <c r="H179" s="15">
        <f t="shared" si="33"/>
        <v>1450</v>
      </c>
      <c r="I179" s="15">
        <f t="shared" si="34"/>
        <v>29000</v>
      </c>
      <c r="J179" s="14">
        <f t="shared" si="35"/>
        <v>3480</v>
      </c>
      <c r="K179" s="15">
        <f t="shared" si="36"/>
        <v>217.5</v>
      </c>
      <c r="L179" s="15">
        <f t="shared" si="37"/>
        <v>25302.5</v>
      </c>
      <c r="M179" s="14"/>
      <c r="N179" s="14"/>
    </row>
    <row r="180" ht="14.25">
      <c r="A180" s="14">
        <v>178</v>
      </c>
      <c r="B180" s="14" t="str">
        <f t="shared" si="31"/>
        <v>Empl_178</v>
      </c>
      <c r="C180" s="14" t="s">
        <v>9</v>
      </c>
      <c r="D180" s="14">
        <v>36000</v>
      </c>
      <c r="E180" s="14">
        <f t="shared" ca="1" si="30"/>
        <v>30</v>
      </c>
      <c r="F180" s="14">
        <v>30</v>
      </c>
      <c r="G180" s="14">
        <f t="shared" si="32"/>
        <v>0</v>
      </c>
      <c r="H180" s="15">
        <f t="shared" si="33"/>
        <v>1200</v>
      </c>
      <c r="I180" s="15">
        <f t="shared" si="34"/>
        <v>36000</v>
      </c>
      <c r="J180" s="14">
        <f t="shared" si="35"/>
        <v>4320</v>
      </c>
      <c r="K180" s="15">
        <f t="shared" si="36"/>
        <v>270</v>
      </c>
      <c r="L180" s="15">
        <f t="shared" si="37"/>
        <v>31410</v>
      </c>
      <c r="M180" s="14"/>
      <c r="N180" s="14"/>
    </row>
    <row r="181" ht="14.25">
      <c r="A181" s="14">
        <v>179</v>
      </c>
      <c r="B181" s="14" t="str">
        <f t="shared" si="31"/>
        <v>Empl_179</v>
      </c>
      <c r="C181" s="14" t="s">
        <v>11</v>
      </c>
      <c r="D181" s="14">
        <v>32000</v>
      </c>
      <c r="E181" s="14">
        <f t="shared" ca="1" si="30"/>
        <v>30</v>
      </c>
      <c r="F181" s="14">
        <v>26</v>
      </c>
      <c r="G181" s="14">
        <f t="shared" si="32"/>
        <v>4</v>
      </c>
      <c r="H181" s="15">
        <f t="shared" si="33"/>
        <v>1230.7692307692307</v>
      </c>
      <c r="I181" s="15">
        <f t="shared" si="34"/>
        <v>32000</v>
      </c>
      <c r="J181" s="14">
        <f t="shared" si="35"/>
        <v>3840</v>
      </c>
      <c r="K181" s="15">
        <f t="shared" si="36"/>
        <v>240</v>
      </c>
      <c r="L181" s="15">
        <f t="shared" si="37"/>
        <v>27920</v>
      </c>
      <c r="M181" s="14"/>
      <c r="N181" s="14"/>
    </row>
    <row r="182" ht="14.25">
      <c r="A182" s="14">
        <v>180</v>
      </c>
      <c r="B182" s="14" t="str">
        <f t="shared" si="31"/>
        <v>Empl_180</v>
      </c>
      <c r="C182" s="14" t="s">
        <v>8</v>
      </c>
      <c r="D182" s="14">
        <v>31000</v>
      </c>
      <c r="E182" s="14">
        <f t="shared" ca="1" si="30"/>
        <v>30</v>
      </c>
      <c r="F182" s="14">
        <v>22</v>
      </c>
      <c r="G182" s="14">
        <f t="shared" si="32"/>
        <v>8</v>
      </c>
      <c r="H182" s="15">
        <f t="shared" si="33"/>
        <v>1409.090909090909</v>
      </c>
      <c r="I182" s="15">
        <f t="shared" si="34"/>
        <v>31000</v>
      </c>
      <c r="J182" s="14">
        <f t="shared" si="35"/>
        <v>3720</v>
      </c>
      <c r="K182" s="15">
        <f t="shared" si="36"/>
        <v>232.5</v>
      </c>
      <c r="L182" s="15">
        <f t="shared" si="37"/>
        <v>27047.5</v>
      </c>
      <c r="M182" s="14"/>
      <c r="N182" s="14"/>
    </row>
    <row r="183" ht="14.25">
      <c r="A183" s="14">
        <v>181</v>
      </c>
      <c r="B183" s="14" t="str">
        <f t="shared" si="31"/>
        <v>Empl_181</v>
      </c>
      <c r="C183" s="14" t="s">
        <v>12</v>
      </c>
      <c r="D183" s="14">
        <v>43000</v>
      </c>
      <c r="E183" s="14">
        <f t="shared" ca="1" si="30"/>
        <v>30</v>
      </c>
      <c r="F183" s="14">
        <v>25</v>
      </c>
      <c r="G183" s="14">
        <f t="shared" si="32"/>
        <v>5</v>
      </c>
      <c r="H183" s="15">
        <f t="shared" si="33"/>
        <v>1720</v>
      </c>
      <c r="I183" s="15">
        <f t="shared" si="34"/>
        <v>43000</v>
      </c>
      <c r="J183" s="14">
        <f t="shared" si="35"/>
        <v>5160</v>
      </c>
      <c r="K183" s="15">
        <f t="shared" si="36"/>
        <v>322.5</v>
      </c>
      <c r="L183" s="15">
        <f t="shared" si="37"/>
        <v>37517.5</v>
      </c>
      <c r="M183" s="14"/>
      <c r="N183" s="14"/>
    </row>
    <row r="184" ht="14.25">
      <c r="A184" s="14">
        <v>182</v>
      </c>
      <c r="B184" s="14" t="str">
        <f t="shared" si="31"/>
        <v>Empl_182</v>
      </c>
      <c r="C184" s="14" t="s">
        <v>10</v>
      </c>
      <c r="D184" s="14">
        <v>37000</v>
      </c>
      <c r="E184" s="14">
        <f t="shared" ca="1" si="30"/>
        <v>30</v>
      </c>
      <c r="F184" s="14">
        <v>27</v>
      </c>
      <c r="G184" s="14">
        <f t="shared" si="32"/>
        <v>3</v>
      </c>
      <c r="H184" s="15">
        <f t="shared" si="33"/>
        <v>1370.3703703703704</v>
      </c>
      <c r="I184" s="15">
        <f t="shared" si="34"/>
        <v>37000</v>
      </c>
      <c r="J184" s="14">
        <f t="shared" si="35"/>
        <v>4440</v>
      </c>
      <c r="K184" s="15">
        <f t="shared" si="36"/>
        <v>277.5</v>
      </c>
      <c r="L184" s="15">
        <f t="shared" si="37"/>
        <v>32282.5</v>
      </c>
      <c r="M184" s="14"/>
      <c r="N184" s="14"/>
    </row>
    <row r="185" ht="14.25">
      <c r="A185" s="14">
        <v>183</v>
      </c>
      <c r="B185" s="14" t="str">
        <f t="shared" si="31"/>
        <v>Empl_183</v>
      </c>
      <c r="C185" s="14" t="s">
        <v>13</v>
      </c>
      <c r="D185" s="14">
        <v>41000</v>
      </c>
      <c r="E185" s="14">
        <f t="shared" ca="1" si="30"/>
        <v>30</v>
      </c>
      <c r="F185" s="14">
        <v>29</v>
      </c>
      <c r="G185" s="14">
        <f t="shared" si="32"/>
        <v>1</v>
      </c>
      <c r="H185" s="15">
        <f t="shared" si="33"/>
        <v>1413.7931034482758</v>
      </c>
      <c r="I185" s="15">
        <f t="shared" si="34"/>
        <v>41000</v>
      </c>
      <c r="J185" s="14">
        <f t="shared" si="35"/>
        <v>4920</v>
      </c>
      <c r="K185" s="15">
        <f t="shared" si="36"/>
        <v>307.5</v>
      </c>
      <c r="L185" s="15">
        <f t="shared" si="37"/>
        <v>35772.5</v>
      </c>
      <c r="M185" s="14"/>
      <c r="N185" s="14"/>
    </row>
    <row r="186" ht="14.25">
      <c r="A186" s="14">
        <v>184</v>
      </c>
      <c r="B186" s="14" t="str">
        <f t="shared" si="31"/>
        <v>Empl_184</v>
      </c>
      <c r="C186" s="14" t="s">
        <v>9</v>
      </c>
      <c r="D186" s="14">
        <v>35000</v>
      </c>
      <c r="E186" s="14">
        <f t="shared" ca="1" si="30"/>
        <v>30</v>
      </c>
      <c r="F186" s="14">
        <v>30</v>
      </c>
      <c r="G186" s="14">
        <f t="shared" si="32"/>
        <v>0</v>
      </c>
      <c r="H186" s="15">
        <f t="shared" si="33"/>
        <v>1166.6666666666667</v>
      </c>
      <c r="I186" s="15">
        <f t="shared" si="34"/>
        <v>35000</v>
      </c>
      <c r="J186" s="14">
        <f t="shared" si="35"/>
        <v>4200</v>
      </c>
      <c r="K186" s="15">
        <f t="shared" si="36"/>
        <v>262.5</v>
      </c>
      <c r="L186" s="15">
        <f t="shared" si="37"/>
        <v>30537.5</v>
      </c>
      <c r="M186" s="14"/>
      <c r="N186" s="14"/>
    </row>
    <row r="187" ht="14.25">
      <c r="A187" s="14">
        <v>185</v>
      </c>
      <c r="B187" s="14" t="str">
        <f t="shared" si="31"/>
        <v>Empl_185</v>
      </c>
      <c r="C187" s="14" t="s">
        <v>11</v>
      </c>
      <c r="D187" s="14">
        <v>44000</v>
      </c>
      <c r="E187" s="14">
        <f t="shared" ca="1" si="30"/>
        <v>30</v>
      </c>
      <c r="F187" s="14">
        <v>30</v>
      </c>
      <c r="G187" s="14">
        <f t="shared" si="32"/>
        <v>0</v>
      </c>
      <c r="H187" s="15">
        <f t="shared" si="33"/>
        <v>1466.6666666666667</v>
      </c>
      <c r="I187" s="15">
        <f t="shared" si="34"/>
        <v>44000</v>
      </c>
      <c r="J187" s="14">
        <f t="shared" si="35"/>
        <v>5280</v>
      </c>
      <c r="K187" s="15">
        <f t="shared" si="36"/>
        <v>330</v>
      </c>
      <c r="L187" s="15">
        <f t="shared" si="37"/>
        <v>38390</v>
      </c>
      <c r="M187" s="14"/>
      <c r="N187" s="14"/>
    </row>
    <row r="188" ht="14.25">
      <c r="A188" s="14">
        <v>186</v>
      </c>
      <c r="B188" s="14" t="str">
        <f t="shared" si="31"/>
        <v>Empl_186</v>
      </c>
      <c r="C188" s="14" t="s">
        <v>8</v>
      </c>
      <c r="D188" s="14">
        <v>43000</v>
      </c>
      <c r="E188" s="14">
        <f t="shared" ca="1" si="30"/>
        <v>30</v>
      </c>
      <c r="F188" s="14">
        <v>22</v>
      </c>
      <c r="G188" s="14">
        <f t="shared" si="32"/>
        <v>8</v>
      </c>
      <c r="H188" s="15">
        <f t="shared" si="33"/>
        <v>1954.5454545454545</v>
      </c>
      <c r="I188" s="15">
        <f t="shared" si="34"/>
        <v>43000</v>
      </c>
      <c r="J188" s="14">
        <f t="shared" si="35"/>
        <v>5160</v>
      </c>
      <c r="K188" s="15">
        <f t="shared" si="36"/>
        <v>322.5</v>
      </c>
      <c r="L188" s="15">
        <f t="shared" si="37"/>
        <v>37517.5</v>
      </c>
      <c r="M188" s="14"/>
      <c r="N188" s="14"/>
    </row>
    <row r="189" ht="14.25">
      <c r="A189" s="14">
        <v>187</v>
      </c>
      <c r="B189" s="14" t="str">
        <f t="shared" si="31"/>
        <v>Empl_187</v>
      </c>
      <c r="C189" s="14" t="s">
        <v>12</v>
      </c>
      <c r="D189" s="14">
        <v>29000</v>
      </c>
      <c r="E189" s="14">
        <f t="shared" ca="1" si="30"/>
        <v>30</v>
      </c>
      <c r="F189" s="14">
        <v>23</v>
      </c>
      <c r="G189" s="14">
        <f t="shared" si="32"/>
        <v>7</v>
      </c>
      <c r="H189" s="15">
        <f t="shared" si="33"/>
        <v>1260.8695652173913</v>
      </c>
      <c r="I189" s="15">
        <f t="shared" si="34"/>
        <v>29000</v>
      </c>
      <c r="J189" s="14">
        <f t="shared" si="35"/>
        <v>3480</v>
      </c>
      <c r="K189" s="15">
        <f t="shared" si="36"/>
        <v>217.5</v>
      </c>
      <c r="L189" s="15">
        <f t="shared" si="37"/>
        <v>25302.5</v>
      </c>
      <c r="M189" s="14"/>
      <c r="N189" s="14"/>
    </row>
    <row r="190" ht="14.25">
      <c r="A190" s="14">
        <v>188</v>
      </c>
      <c r="B190" s="14" t="str">
        <f t="shared" si="31"/>
        <v>Empl_188</v>
      </c>
      <c r="C190" s="14" t="s">
        <v>10</v>
      </c>
      <c r="D190" s="14">
        <v>23000</v>
      </c>
      <c r="E190" s="14">
        <f t="shared" ca="1" si="30"/>
        <v>30</v>
      </c>
      <c r="F190" s="14">
        <v>24</v>
      </c>
      <c r="G190" s="14">
        <f t="shared" si="32"/>
        <v>6</v>
      </c>
      <c r="H190" s="15">
        <f t="shared" si="33"/>
        <v>958.33333333333337</v>
      </c>
      <c r="I190" s="15">
        <f t="shared" si="34"/>
        <v>23000</v>
      </c>
      <c r="J190" s="14">
        <f t="shared" si="35"/>
        <v>2760</v>
      </c>
      <c r="K190" s="15">
        <f t="shared" si="36"/>
        <v>172.5</v>
      </c>
      <c r="L190" s="15">
        <f t="shared" si="37"/>
        <v>20067.5</v>
      </c>
      <c r="M190" s="14"/>
      <c r="N190" s="14"/>
    </row>
    <row r="191" ht="14.25">
      <c r="A191" s="14">
        <v>189</v>
      </c>
      <c r="B191" s="14" t="str">
        <f t="shared" si="31"/>
        <v>Empl_189</v>
      </c>
      <c r="C191" s="14" t="s">
        <v>13</v>
      </c>
      <c r="D191" s="14">
        <v>18000</v>
      </c>
      <c r="E191" s="14">
        <f t="shared" ca="1" si="30"/>
        <v>30</v>
      </c>
      <c r="F191" s="14">
        <v>21</v>
      </c>
      <c r="G191" s="14">
        <f t="shared" si="32"/>
        <v>9</v>
      </c>
      <c r="H191" s="15">
        <f t="shared" si="33"/>
        <v>857.14285714285711</v>
      </c>
      <c r="I191" s="15">
        <f t="shared" si="34"/>
        <v>18000</v>
      </c>
      <c r="J191" s="14">
        <f t="shared" si="35"/>
        <v>2160</v>
      </c>
      <c r="K191" s="15">
        <f t="shared" si="36"/>
        <v>135</v>
      </c>
      <c r="L191" s="15">
        <f t="shared" si="37"/>
        <v>15705</v>
      </c>
      <c r="M191" s="14"/>
      <c r="N191" s="14"/>
    </row>
    <row r="192" ht="14.25">
      <c r="A192" s="14">
        <v>190</v>
      </c>
      <c r="B192" s="14" t="str">
        <f t="shared" si="31"/>
        <v>Empl_190</v>
      </c>
      <c r="C192" s="14" t="s">
        <v>9</v>
      </c>
      <c r="D192" s="14">
        <v>32000</v>
      </c>
      <c r="E192" s="14">
        <f t="shared" ca="1" si="30"/>
        <v>30</v>
      </c>
      <c r="F192" s="14">
        <v>23</v>
      </c>
      <c r="G192" s="14">
        <f t="shared" si="32"/>
        <v>7</v>
      </c>
      <c r="H192" s="15">
        <f t="shared" si="33"/>
        <v>1391.304347826087</v>
      </c>
      <c r="I192" s="15">
        <f t="shared" si="34"/>
        <v>32000</v>
      </c>
      <c r="J192" s="14">
        <f t="shared" si="35"/>
        <v>3840</v>
      </c>
      <c r="K192" s="15">
        <f t="shared" si="36"/>
        <v>240</v>
      </c>
      <c r="L192" s="15">
        <f t="shared" si="37"/>
        <v>27920</v>
      </c>
      <c r="M192" s="14"/>
      <c r="N192" s="14"/>
    </row>
    <row r="193" ht="14.25">
      <c r="A193" s="14">
        <v>191</v>
      </c>
      <c r="B193" s="14" t="str">
        <f t="shared" si="31"/>
        <v>Empl_191</v>
      </c>
      <c r="C193" s="14" t="s">
        <v>11</v>
      </c>
      <c r="D193" s="14">
        <v>58000</v>
      </c>
      <c r="E193" s="14">
        <f t="shared" ca="1" si="30"/>
        <v>30</v>
      </c>
      <c r="F193" s="14">
        <v>20</v>
      </c>
      <c r="G193" s="14">
        <f t="shared" si="32"/>
        <v>10</v>
      </c>
      <c r="H193" s="15">
        <f t="shared" si="33"/>
        <v>2900</v>
      </c>
      <c r="I193" s="15">
        <f t="shared" si="34"/>
        <v>58000</v>
      </c>
      <c r="J193" s="14">
        <f t="shared" si="35"/>
        <v>6960</v>
      </c>
      <c r="K193" s="15">
        <f t="shared" si="36"/>
        <v>435</v>
      </c>
      <c r="L193" s="15">
        <f t="shared" si="37"/>
        <v>50605</v>
      </c>
      <c r="M193" s="14"/>
      <c r="N193" s="14"/>
    </row>
    <row r="194" ht="14.25">
      <c r="A194" s="14">
        <v>192</v>
      </c>
      <c r="B194" s="14" t="str">
        <f t="shared" si="31"/>
        <v>Empl_192</v>
      </c>
      <c r="C194" s="14" t="s">
        <v>8</v>
      </c>
      <c r="D194" s="14">
        <v>54000</v>
      </c>
      <c r="E194" s="14">
        <f t="shared" ca="1" si="30"/>
        <v>30</v>
      </c>
      <c r="F194" s="14">
        <v>26</v>
      </c>
      <c r="G194" s="14">
        <f t="shared" si="32"/>
        <v>4</v>
      </c>
      <c r="H194" s="15">
        <f t="shared" si="33"/>
        <v>2076.9230769230771</v>
      </c>
      <c r="I194" s="15">
        <f t="shared" si="34"/>
        <v>54000.000000000007</v>
      </c>
      <c r="J194" s="14">
        <f t="shared" si="35"/>
        <v>6480.0000000000009</v>
      </c>
      <c r="K194" s="15">
        <f t="shared" si="36"/>
        <v>405.00000000000006</v>
      </c>
      <c r="L194" s="15">
        <f t="shared" si="37"/>
        <v>47115.000000000007</v>
      </c>
      <c r="M194" s="14"/>
      <c r="N194" s="14"/>
    </row>
    <row r="195" ht="14.25">
      <c r="A195" s="14">
        <v>193</v>
      </c>
      <c r="B195" s="14" t="str">
        <f t="shared" si="31"/>
        <v>Empl_193</v>
      </c>
      <c r="C195" s="14" t="s">
        <v>12</v>
      </c>
      <c r="D195" s="14">
        <v>48000</v>
      </c>
      <c r="E195" s="14">
        <f t="shared" ref="E195:E258" ca="1" si="38">DAY(EOMONTH(TODAY(),0))</f>
        <v>30</v>
      </c>
      <c r="F195" s="14">
        <v>27</v>
      </c>
      <c r="G195" s="14">
        <f t="shared" si="32"/>
        <v>3</v>
      </c>
      <c r="H195" s="15">
        <f t="shared" si="33"/>
        <v>1777.7777777777778</v>
      </c>
      <c r="I195" s="15">
        <f t="shared" si="34"/>
        <v>48000</v>
      </c>
      <c r="J195" s="14">
        <f t="shared" si="35"/>
        <v>5760</v>
      </c>
      <c r="K195" s="15">
        <f t="shared" si="36"/>
        <v>360</v>
      </c>
      <c r="L195" s="15">
        <f t="shared" si="37"/>
        <v>41880</v>
      </c>
      <c r="M195" s="14"/>
      <c r="N195" s="14"/>
    </row>
    <row r="196" ht="14.25">
      <c r="A196" s="14">
        <v>194</v>
      </c>
      <c r="B196" s="14" t="str">
        <f t="shared" si="31"/>
        <v>Empl_194</v>
      </c>
      <c r="C196" s="14" t="s">
        <v>10</v>
      </c>
      <c r="D196" s="14">
        <v>19000</v>
      </c>
      <c r="E196" s="14">
        <f t="shared" ca="1" si="38"/>
        <v>30</v>
      </c>
      <c r="F196" s="14">
        <v>23</v>
      </c>
      <c r="G196" s="14">
        <f t="shared" si="32"/>
        <v>7</v>
      </c>
      <c r="H196" s="15">
        <f t="shared" si="33"/>
        <v>826.08695652173913</v>
      </c>
      <c r="I196" s="15">
        <f t="shared" si="34"/>
        <v>19000</v>
      </c>
      <c r="J196" s="14">
        <f t="shared" si="35"/>
        <v>2280</v>
      </c>
      <c r="K196" s="15">
        <f t="shared" si="36"/>
        <v>142.5</v>
      </c>
      <c r="L196" s="15">
        <f t="shared" si="37"/>
        <v>16577.5</v>
      </c>
      <c r="M196" s="14"/>
      <c r="N196" s="14"/>
    </row>
    <row r="197" ht="14.25">
      <c r="A197" s="14">
        <v>195</v>
      </c>
      <c r="B197" s="14" t="str">
        <f t="shared" si="31"/>
        <v>Empl_195</v>
      </c>
      <c r="C197" s="14" t="s">
        <v>13</v>
      </c>
      <c r="D197" s="14">
        <v>33000</v>
      </c>
      <c r="E197" s="14">
        <f t="shared" ca="1" si="38"/>
        <v>30</v>
      </c>
      <c r="F197" s="14">
        <v>28</v>
      </c>
      <c r="G197" s="14">
        <f t="shared" si="32"/>
        <v>2</v>
      </c>
      <c r="H197" s="15">
        <f t="shared" si="33"/>
        <v>1178.5714285714287</v>
      </c>
      <c r="I197" s="15">
        <f t="shared" si="34"/>
        <v>33000</v>
      </c>
      <c r="J197" s="14">
        <f t="shared" si="35"/>
        <v>3960</v>
      </c>
      <c r="K197" s="15">
        <f t="shared" si="36"/>
        <v>247.5</v>
      </c>
      <c r="L197" s="15">
        <f t="shared" si="37"/>
        <v>28792.5</v>
      </c>
      <c r="M197" s="14"/>
      <c r="N197" s="14"/>
    </row>
    <row r="198" ht="14.25">
      <c r="A198" s="14">
        <v>196</v>
      </c>
      <c r="B198" s="14" t="str">
        <f t="shared" si="31"/>
        <v>Empl_196</v>
      </c>
      <c r="C198" s="14" t="s">
        <v>9</v>
      </c>
      <c r="D198" s="14">
        <v>28000</v>
      </c>
      <c r="E198" s="14">
        <f t="shared" ca="1" si="38"/>
        <v>30</v>
      </c>
      <c r="F198" s="14">
        <v>25</v>
      </c>
      <c r="G198" s="14">
        <f t="shared" si="32"/>
        <v>5</v>
      </c>
      <c r="H198" s="15">
        <f t="shared" si="33"/>
        <v>1120</v>
      </c>
      <c r="I198" s="15">
        <f t="shared" si="34"/>
        <v>28000</v>
      </c>
      <c r="J198" s="14">
        <f t="shared" si="35"/>
        <v>3360</v>
      </c>
      <c r="K198" s="15">
        <f t="shared" si="36"/>
        <v>210</v>
      </c>
      <c r="L198" s="15">
        <f t="shared" si="37"/>
        <v>24430</v>
      </c>
      <c r="M198" s="14"/>
      <c r="N198" s="14"/>
    </row>
    <row r="199" ht="14.25">
      <c r="A199" s="14">
        <v>197</v>
      </c>
      <c r="B199" s="14" t="str">
        <f t="shared" si="31"/>
        <v>Empl_197</v>
      </c>
      <c r="C199" s="14" t="s">
        <v>11</v>
      </c>
      <c r="D199" s="14">
        <v>52000</v>
      </c>
      <c r="E199" s="14">
        <f t="shared" ca="1" si="38"/>
        <v>30</v>
      </c>
      <c r="F199" s="14">
        <v>29</v>
      </c>
      <c r="G199" s="14">
        <f t="shared" si="32"/>
        <v>1</v>
      </c>
      <c r="H199" s="15">
        <f t="shared" si="33"/>
        <v>1793.1034482758621</v>
      </c>
      <c r="I199" s="15">
        <f t="shared" si="34"/>
        <v>52000</v>
      </c>
      <c r="J199" s="14">
        <f t="shared" si="35"/>
        <v>6240</v>
      </c>
      <c r="K199" s="15">
        <f t="shared" si="36"/>
        <v>390</v>
      </c>
      <c r="L199" s="15">
        <f t="shared" si="37"/>
        <v>45370</v>
      </c>
      <c r="M199" s="14"/>
      <c r="N199" s="14"/>
    </row>
    <row r="200" ht="14.25">
      <c r="A200" s="14">
        <v>198</v>
      </c>
      <c r="B200" s="14" t="str">
        <f t="shared" si="31"/>
        <v>Empl_198</v>
      </c>
      <c r="C200" s="14" t="s">
        <v>8</v>
      </c>
      <c r="D200" s="14">
        <v>36000</v>
      </c>
      <c r="E200" s="14">
        <f t="shared" ca="1" si="38"/>
        <v>30</v>
      </c>
      <c r="F200" s="14">
        <v>29</v>
      </c>
      <c r="G200" s="14">
        <f t="shared" si="32"/>
        <v>1</v>
      </c>
      <c r="H200" s="15">
        <f t="shared" si="33"/>
        <v>1241.3793103448277</v>
      </c>
      <c r="I200" s="15">
        <f t="shared" si="34"/>
        <v>36000</v>
      </c>
      <c r="J200" s="14">
        <f t="shared" si="35"/>
        <v>4320</v>
      </c>
      <c r="K200" s="15">
        <f t="shared" si="36"/>
        <v>270</v>
      </c>
      <c r="L200" s="15">
        <f t="shared" si="37"/>
        <v>31410</v>
      </c>
      <c r="M200" s="14"/>
      <c r="N200" s="14"/>
    </row>
    <row r="201" ht="14.25">
      <c r="A201" s="14">
        <v>199</v>
      </c>
      <c r="B201" s="14" t="str">
        <f t="shared" si="31"/>
        <v>Empl_199</v>
      </c>
      <c r="C201" s="14" t="s">
        <v>12</v>
      </c>
      <c r="D201" s="14">
        <v>37000</v>
      </c>
      <c r="E201" s="14">
        <f t="shared" ca="1" si="38"/>
        <v>30</v>
      </c>
      <c r="F201" s="14">
        <v>25</v>
      </c>
      <c r="G201" s="14">
        <f t="shared" si="32"/>
        <v>5</v>
      </c>
      <c r="H201" s="15">
        <f t="shared" si="33"/>
        <v>1480</v>
      </c>
      <c r="I201" s="15">
        <f t="shared" si="34"/>
        <v>37000</v>
      </c>
      <c r="J201" s="14">
        <f t="shared" si="35"/>
        <v>4440</v>
      </c>
      <c r="K201" s="15">
        <f t="shared" si="36"/>
        <v>277.5</v>
      </c>
      <c r="L201" s="15">
        <f t="shared" si="37"/>
        <v>32282.5</v>
      </c>
      <c r="M201" s="14"/>
      <c r="N201" s="14"/>
    </row>
    <row r="202" ht="14.25">
      <c r="A202" s="14">
        <v>200</v>
      </c>
      <c r="B202" s="14" t="str">
        <f t="shared" si="31"/>
        <v>Empl_200</v>
      </c>
      <c r="C202" s="14" t="s">
        <v>10</v>
      </c>
      <c r="D202" s="14">
        <v>20000</v>
      </c>
      <c r="E202" s="14">
        <f t="shared" ca="1" si="38"/>
        <v>30</v>
      </c>
      <c r="F202" s="14">
        <v>24</v>
      </c>
      <c r="G202" s="14">
        <f t="shared" si="32"/>
        <v>6</v>
      </c>
      <c r="H202" s="15">
        <f t="shared" si="33"/>
        <v>833.33333333333337</v>
      </c>
      <c r="I202" s="15">
        <f t="shared" si="34"/>
        <v>20000</v>
      </c>
      <c r="J202" s="14">
        <f t="shared" si="35"/>
        <v>2400</v>
      </c>
      <c r="K202" s="15">
        <f t="shared" si="36"/>
        <v>150</v>
      </c>
      <c r="L202" s="15">
        <f t="shared" si="37"/>
        <v>17450</v>
      </c>
      <c r="M202" s="14"/>
      <c r="N202" s="14"/>
    </row>
    <row r="203" ht="14.25">
      <c r="A203" s="14">
        <v>201</v>
      </c>
      <c r="B203" s="14" t="str">
        <f t="shared" si="31"/>
        <v>Empl_201</v>
      </c>
      <c r="C203" s="14" t="s">
        <v>13</v>
      </c>
      <c r="D203" s="14">
        <v>50000</v>
      </c>
      <c r="E203" s="14">
        <f t="shared" ca="1" si="38"/>
        <v>30</v>
      </c>
      <c r="F203" s="14">
        <v>24</v>
      </c>
      <c r="G203" s="14">
        <f t="shared" si="32"/>
        <v>6</v>
      </c>
      <c r="H203" s="15">
        <f t="shared" si="33"/>
        <v>2083.3333333333335</v>
      </c>
      <c r="I203" s="15">
        <f t="shared" si="34"/>
        <v>50000</v>
      </c>
      <c r="J203" s="14">
        <f t="shared" si="35"/>
        <v>6000</v>
      </c>
      <c r="K203" s="15">
        <f t="shared" si="36"/>
        <v>375</v>
      </c>
      <c r="L203" s="15">
        <f t="shared" si="37"/>
        <v>43625</v>
      </c>
      <c r="M203" s="14"/>
      <c r="N203" s="14"/>
    </row>
    <row r="204" ht="14.25">
      <c r="A204" s="14">
        <v>202</v>
      </c>
      <c r="B204" s="14" t="str">
        <f t="shared" si="31"/>
        <v>Empl_202</v>
      </c>
      <c r="C204" s="14" t="s">
        <v>9</v>
      </c>
      <c r="D204" s="14">
        <v>35000</v>
      </c>
      <c r="E204" s="14">
        <f t="shared" ca="1" si="38"/>
        <v>30</v>
      </c>
      <c r="F204" s="14">
        <v>30</v>
      </c>
      <c r="G204" s="14">
        <f t="shared" si="32"/>
        <v>0</v>
      </c>
      <c r="H204" s="15">
        <f t="shared" si="33"/>
        <v>1166.6666666666667</v>
      </c>
      <c r="I204" s="15">
        <f t="shared" si="34"/>
        <v>35000</v>
      </c>
      <c r="J204" s="14">
        <f t="shared" si="35"/>
        <v>4200</v>
      </c>
      <c r="K204" s="15">
        <f t="shared" si="36"/>
        <v>262.5</v>
      </c>
      <c r="L204" s="15">
        <f t="shared" si="37"/>
        <v>30537.5</v>
      </c>
      <c r="M204" s="14"/>
      <c r="N204" s="14"/>
    </row>
    <row r="205" ht="14.25">
      <c r="A205" s="14">
        <v>203</v>
      </c>
      <c r="B205" s="14" t="str">
        <f t="shared" si="31"/>
        <v>Empl_203</v>
      </c>
      <c r="C205" s="14" t="s">
        <v>11</v>
      </c>
      <c r="D205" s="14">
        <v>54000</v>
      </c>
      <c r="E205" s="14">
        <f t="shared" ca="1" si="38"/>
        <v>30</v>
      </c>
      <c r="F205" s="14">
        <v>20</v>
      </c>
      <c r="G205" s="14">
        <f t="shared" si="32"/>
        <v>10</v>
      </c>
      <c r="H205" s="15">
        <f t="shared" si="33"/>
        <v>2700</v>
      </c>
      <c r="I205" s="15">
        <f t="shared" si="34"/>
        <v>54000</v>
      </c>
      <c r="J205" s="14">
        <f t="shared" si="35"/>
        <v>6480</v>
      </c>
      <c r="K205" s="15">
        <f t="shared" si="36"/>
        <v>405</v>
      </c>
      <c r="L205" s="15">
        <f t="shared" si="37"/>
        <v>47115</v>
      </c>
      <c r="M205" s="14"/>
      <c r="N205" s="14"/>
    </row>
    <row r="206" ht="14.25">
      <c r="A206" s="14">
        <v>204</v>
      </c>
      <c r="B206" s="14" t="str">
        <f t="shared" si="31"/>
        <v>Empl_204</v>
      </c>
      <c r="C206" s="14" t="s">
        <v>8</v>
      </c>
      <c r="D206" s="14">
        <v>40000</v>
      </c>
      <c r="E206" s="14">
        <f t="shared" ca="1" si="38"/>
        <v>30</v>
      </c>
      <c r="F206" s="14">
        <v>23</v>
      </c>
      <c r="G206" s="14">
        <f t="shared" si="32"/>
        <v>7</v>
      </c>
      <c r="H206" s="15">
        <f t="shared" si="33"/>
        <v>1739.1304347826087</v>
      </c>
      <c r="I206" s="15">
        <f t="shared" si="34"/>
        <v>40000</v>
      </c>
      <c r="J206" s="14">
        <f t="shared" si="35"/>
        <v>4800</v>
      </c>
      <c r="K206" s="15">
        <f t="shared" si="36"/>
        <v>300</v>
      </c>
      <c r="L206" s="15">
        <f t="shared" si="37"/>
        <v>34900</v>
      </c>
      <c r="M206" s="14"/>
      <c r="N206" s="14"/>
    </row>
    <row r="207" ht="14.25">
      <c r="A207" s="14">
        <v>205</v>
      </c>
      <c r="B207" s="14" t="str">
        <f t="shared" si="31"/>
        <v>Empl_205</v>
      </c>
      <c r="C207" s="14" t="s">
        <v>12</v>
      </c>
      <c r="D207" s="14">
        <v>40000</v>
      </c>
      <c r="E207" s="14">
        <f t="shared" ca="1" si="38"/>
        <v>30</v>
      </c>
      <c r="F207" s="14">
        <v>30</v>
      </c>
      <c r="G207" s="14">
        <f t="shared" si="32"/>
        <v>0</v>
      </c>
      <c r="H207" s="15">
        <f t="shared" si="33"/>
        <v>1333.3333333333333</v>
      </c>
      <c r="I207" s="15">
        <f t="shared" si="34"/>
        <v>40000</v>
      </c>
      <c r="J207" s="14">
        <f t="shared" si="35"/>
        <v>4800</v>
      </c>
      <c r="K207" s="15">
        <f t="shared" si="36"/>
        <v>300</v>
      </c>
      <c r="L207" s="15">
        <f t="shared" si="37"/>
        <v>34900</v>
      </c>
      <c r="M207" s="14"/>
      <c r="N207" s="14"/>
    </row>
    <row r="208" ht="14.25">
      <c r="A208" s="14">
        <v>206</v>
      </c>
      <c r="B208" s="14" t="str">
        <f t="shared" si="31"/>
        <v>Empl_206</v>
      </c>
      <c r="C208" s="14" t="s">
        <v>10</v>
      </c>
      <c r="D208" s="14">
        <v>34000</v>
      </c>
      <c r="E208" s="14">
        <f t="shared" ca="1" si="38"/>
        <v>30</v>
      </c>
      <c r="F208" s="14">
        <v>27</v>
      </c>
      <c r="G208" s="14">
        <f t="shared" si="32"/>
        <v>3</v>
      </c>
      <c r="H208" s="15">
        <f t="shared" si="33"/>
        <v>1259.2592592592594</v>
      </c>
      <c r="I208" s="15">
        <f t="shared" si="34"/>
        <v>34000</v>
      </c>
      <c r="J208" s="14">
        <f t="shared" si="35"/>
        <v>4080</v>
      </c>
      <c r="K208" s="15">
        <f t="shared" si="36"/>
        <v>255</v>
      </c>
      <c r="L208" s="15">
        <f t="shared" si="37"/>
        <v>29665</v>
      </c>
      <c r="M208" s="14"/>
      <c r="N208" s="14"/>
    </row>
    <row r="209" ht="14.25">
      <c r="A209" s="14">
        <v>207</v>
      </c>
      <c r="B209" s="14" t="str">
        <f t="shared" si="31"/>
        <v>Empl_207</v>
      </c>
      <c r="C209" s="14" t="s">
        <v>13</v>
      </c>
      <c r="D209" s="14">
        <v>38000</v>
      </c>
      <c r="E209" s="14">
        <f t="shared" ca="1" si="38"/>
        <v>30</v>
      </c>
      <c r="F209" s="14">
        <v>22</v>
      </c>
      <c r="G209" s="14">
        <f t="shared" si="32"/>
        <v>8</v>
      </c>
      <c r="H209" s="15">
        <f t="shared" si="33"/>
        <v>1727.2727272727273</v>
      </c>
      <c r="I209" s="15">
        <f t="shared" si="34"/>
        <v>38000</v>
      </c>
      <c r="J209" s="14">
        <f t="shared" si="35"/>
        <v>4560</v>
      </c>
      <c r="K209" s="15">
        <f t="shared" si="36"/>
        <v>285</v>
      </c>
      <c r="L209" s="15">
        <f t="shared" si="37"/>
        <v>33155</v>
      </c>
      <c r="M209" s="14"/>
      <c r="N209" s="14"/>
    </row>
    <row r="210" ht="14.25">
      <c r="A210" s="14">
        <v>208</v>
      </c>
      <c r="B210" s="14" t="str">
        <f t="shared" si="31"/>
        <v>Empl_208</v>
      </c>
      <c r="C210" s="14" t="s">
        <v>9</v>
      </c>
      <c r="D210" s="14">
        <v>55000</v>
      </c>
      <c r="E210" s="14">
        <f t="shared" ca="1" si="38"/>
        <v>30</v>
      </c>
      <c r="F210" s="14">
        <v>22</v>
      </c>
      <c r="G210" s="14">
        <f t="shared" si="32"/>
        <v>8</v>
      </c>
      <c r="H210" s="15">
        <f t="shared" si="33"/>
        <v>2500</v>
      </c>
      <c r="I210" s="15">
        <f t="shared" si="34"/>
        <v>55000</v>
      </c>
      <c r="J210" s="14">
        <f t="shared" si="35"/>
        <v>6600</v>
      </c>
      <c r="K210" s="15">
        <f t="shared" si="36"/>
        <v>412.5</v>
      </c>
      <c r="L210" s="15">
        <f t="shared" si="37"/>
        <v>47987.5</v>
      </c>
      <c r="M210" s="14"/>
      <c r="N210" s="14"/>
    </row>
    <row r="211" ht="14.25">
      <c r="A211" s="14">
        <v>209</v>
      </c>
      <c r="B211" s="14" t="str">
        <f t="shared" si="31"/>
        <v>Empl_209</v>
      </c>
      <c r="C211" s="14" t="s">
        <v>11</v>
      </c>
      <c r="D211" s="14">
        <v>58000</v>
      </c>
      <c r="E211" s="14">
        <f t="shared" ca="1" si="38"/>
        <v>30</v>
      </c>
      <c r="F211" s="14">
        <v>26</v>
      </c>
      <c r="G211" s="14">
        <f t="shared" si="32"/>
        <v>4</v>
      </c>
      <c r="H211" s="15">
        <f t="shared" si="33"/>
        <v>2230.7692307692309</v>
      </c>
      <c r="I211" s="15">
        <f t="shared" si="34"/>
        <v>58000.000000000007</v>
      </c>
      <c r="J211" s="14">
        <f t="shared" si="35"/>
        <v>6960.0000000000009</v>
      </c>
      <c r="K211" s="15">
        <f t="shared" si="36"/>
        <v>435.00000000000006</v>
      </c>
      <c r="L211" s="15">
        <f t="shared" si="37"/>
        <v>50605.000000000007</v>
      </c>
      <c r="M211" s="14"/>
      <c r="N211" s="14"/>
    </row>
    <row r="212" ht="14.25">
      <c r="A212" s="14">
        <v>210</v>
      </c>
      <c r="B212" s="14" t="str">
        <f t="shared" si="31"/>
        <v>Empl_210</v>
      </c>
      <c r="C212" s="14" t="s">
        <v>8</v>
      </c>
      <c r="D212" s="14">
        <v>43000</v>
      </c>
      <c r="E212" s="14">
        <f t="shared" ca="1" si="38"/>
        <v>30</v>
      </c>
      <c r="F212" s="14">
        <v>29</v>
      </c>
      <c r="G212" s="14">
        <f t="shared" si="32"/>
        <v>1</v>
      </c>
      <c r="H212" s="15">
        <f t="shared" si="33"/>
        <v>1482.7586206896551</v>
      </c>
      <c r="I212" s="15">
        <f t="shared" si="34"/>
        <v>43000</v>
      </c>
      <c r="J212" s="14">
        <f t="shared" si="35"/>
        <v>5160</v>
      </c>
      <c r="K212" s="15">
        <f t="shared" si="36"/>
        <v>322.5</v>
      </c>
      <c r="L212" s="15">
        <f t="shared" si="37"/>
        <v>37517.5</v>
      </c>
      <c r="M212" s="14"/>
      <c r="N212" s="14"/>
    </row>
    <row r="213" ht="14.25">
      <c r="A213" s="14">
        <v>211</v>
      </c>
      <c r="B213" s="14" t="str">
        <f t="shared" si="31"/>
        <v>Empl_211</v>
      </c>
      <c r="C213" s="14" t="s">
        <v>12</v>
      </c>
      <c r="D213" s="14">
        <v>32000</v>
      </c>
      <c r="E213" s="14">
        <f t="shared" ca="1" si="38"/>
        <v>30</v>
      </c>
      <c r="F213" s="14">
        <v>23</v>
      </c>
      <c r="G213" s="14">
        <f t="shared" si="32"/>
        <v>7</v>
      </c>
      <c r="H213" s="15">
        <f t="shared" si="33"/>
        <v>1391.304347826087</v>
      </c>
      <c r="I213" s="15">
        <f t="shared" si="34"/>
        <v>32000</v>
      </c>
      <c r="J213" s="14">
        <f t="shared" si="35"/>
        <v>3840</v>
      </c>
      <c r="K213" s="15">
        <f t="shared" si="36"/>
        <v>240</v>
      </c>
      <c r="L213" s="15">
        <f t="shared" si="37"/>
        <v>27920</v>
      </c>
      <c r="M213" s="14"/>
      <c r="N213" s="14"/>
    </row>
    <row r="214" ht="14.25">
      <c r="A214" s="14">
        <v>212</v>
      </c>
      <c r="B214" s="14" t="str">
        <f t="shared" si="31"/>
        <v>Empl_212</v>
      </c>
      <c r="C214" s="14" t="s">
        <v>10</v>
      </c>
      <c r="D214" s="14">
        <v>38000</v>
      </c>
      <c r="E214" s="14">
        <f t="shared" ca="1" si="38"/>
        <v>30</v>
      </c>
      <c r="F214" s="14">
        <v>23</v>
      </c>
      <c r="G214" s="14">
        <f t="shared" si="32"/>
        <v>7</v>
      </c>
      <c r="H214" s="15">
        <f t="shared" si="33"/>
        <v>1652.1739130434783</v>
      </c>
      <c r="I214" s="15">
        <f t="shared" si="34"/>
        <v>38000</v>
      </c>
      <c r="J214" s="14">
        <f t="shared" si="35"/>
        <v>4560</v>
      </c>
      <c r="K214" s="15">
        <f t="shared" si="36"/>
        <v>285</v>
      </c>
      <c r="L214" s="15">
        <f t="shared" si="37"/>
        <v>33155</v>
      </c>
      <c r="M214" s="14"/>
      <c r="N214" s="14"/>
    </row>
    <row r="215" ht="14.25">
      <c r="A215" s="14">
        <v>213</v>
      </c>
      <c r="B215" s="14" t="str">
        <f t="shared" si="31"/>
        <v>Empl_213</v>
      </c>
      <c r="C215" s="14" t="s">
        <v>13</v>
      </c>
      <c r="D215" s="14">
        <v>50000</v>
      </c>
      <c r="E215" s="14">
        <f t="shared" ca="1" si="38"/>
        <v>30</v>
      </c>
      <c r="F215" s="14">
        <v>23</v>
      </c>
      <c r="G215" s="14">
        <f t="shared" si="32"/>
        <v>7</v>
      </c>
      <c r="H215" s="15">
        <f t="shared" si="33"/>
        <v>2173.913043478261</v>
      </c>
      <c r="I215" s="15">
        <f t="shared" si="34"/>
        <v>50000</v>
      </c>
      <c r="J215" s="14">
        <f t="shared" si="35"/>
        <v>6000</v>
      </c>
      <c r="K215" s="15">
        <f t="shared" si="36"/>
        <v>375</v>
      </c>
      <c r="L215" s="15">
        <f t="shared" si="37"/>
        <v>43625</v>
      </c>
      <c r="M215" s="14"/>
      <c r="N215" s="14"/>
    </row>
    <row r="216" ht="14.25">
      <c r="A216" s="14">
        <v>214</v>
      </c>
      <c r="B216" s="14" t="str">
        <f t="shared" si="31"/>
        <v>Empl_214</v>
      </c>
      <c r="C216" s="14" t="s">
        <v>9</v>
      </c>
      <c r="D216" s="14">
        <v>26000</v>
      </c>
      <c r="E216" s="14">
        <f t="shared" ca="1" si="38"/>
        <v>30</v>
      </c>
      <c r="F216" s="14">
        <v>21</v>
      </c>
      <c r="G216" s="14">
        <f t="shared" si="32"/>
        <v>9</v>
      </c>
      <c r="H216" s="15">
        <f t="shared" si="33"/>
        <v>1238.0952380952381</v>
      </c>
      <c r="I216" s="15">
        <f t="shared" si="34"/>
        <v>26000</v>
      </c>
      <c r="J216" s="14">
        <f t="shared" si="35"/>
        <v>3120</v>
      </c>
      <c r="K216" s="15">
        <f t="shared" si="36"/>
        <v>195</v>
      </c>
      <c r="L216" s="15">
        <f t="shared" si="37"/>
        <v>22685</v>
      </c>
      <c r="M216" s="14"/>
      <c r="N216" s="14"/>
    </row>
    <row r="217" ht="14.25">
      <c r="A217" s="14">
        <v>215</v>
      </c>
      <c r="B217" s="14" t="str">
        <f t="shared" si="31"/>
        <v>Empl_215</v>
      </c>
      <c r="C217" s="14" t="s">
        <v>11</v>
      </c>
      <c r="D217" s="14">
        <v>60000</v>
      </c>
      <c r="E217" s="14">
        <f t="shared" ca="1" si="38"/>
        <v>30</v>
      </c>
      <c r="F217" s="14">
        <v>21</v>
      </c>
      <c r="G217" s="14">
        <f t="shared" si="32"/>
        <v>9</v>
      </c>
      <c r="H217" s="15">
        <f t="shared" si="33"/>
        <v>2857.1428571428573</v>
      </c>
      <c r="I217" s="15">
        <f t="shared" si="34"/>
        <v>60000.000000000007</v>
      </c>
      <c r="J217" s="14">
        <f t="shared" si="35"/>
        <v>7200.0000000000009</v>
      </c>
      <c r="K217" s="15">
        <f t="shared" si="36"/>
        <v>450.00000000000006</v>
      </c>
      <c r="L217" s="15">
        <f t="shared" si="37"/>
        <v>52350.000000000007</v>
      </c>
      <c r="M217" s="14"/>
      <c r="N217" s="14"/>
    </row>
    <row r="218" ht="14.25">
      <c r="A218" s="14">
        <v>216</v>
      </c>
      <c r="B218" s="14" t="str">
        <f t="shared" si="31"/>
        <v>Empl_216</v>
      </c>
      <c r="C218" s="14" t="s">
        <v>8</v>
      </c>
      <c r="D218" s="14">
        <v>23000</v>
      </c>
      <c r="E218" s="14">
        <f t="shared" ca="1" si="38"/>
        <v>30</v>
      </c>
      <c r="F218" s="14">
        <v>20</v>
      </c>
      <c r="G218" s="14">
        <f t="shared" si="32"/>
        <v>10</v>
      </c>
      <c r="H218" s="15">
        <f t="shared" si="33"/>
        <v>1150</v>
      </c>
      <c r="I218" s="15">
        <f t="shared" si="34"/>
        <v>23000</v>
      </c>
      <c r="J218" s="14">
        <f t="shared" si="35"/>
        <v>2760</v>
      </c>
      <c r="K218" s="15">
        <f t="shared" si="36"/>
        <v>172.5</v>
      </c>
      <c r="L218" s="15">
        <f t="shared" si="37"/>
        <v>20067.5</v>
      </c>
      <c r="M218" s="14"/>
      <c r="N218" s="14"/>
    </row>
    <row r="219" ht="14.25">
      <c r="A219" s="14">
        <v>217</v>
      </c>
      <c r="B219" s="14" t="str">
        <f t="shared" si="31"/>
        <v>Empl_217</v>
      </c>
      <c r="C219" s="14" t="s">
        <v>12</v>
      </c>
      <c r="D219" s="14">
        <v>56000</v>
      </c>
      <c r="E219" s="14">
        <f t="shared" ca="1" si="38"/>
        <v>30</v>
      </c>
      <c r="F219" s="14">
        <v>27</v>
      </c>
      <c r="G219" s="14">
        <f t="shared" si="32"/>
        <v>3</v>
      </c>
      <c r="H219" s="15">
        <f t="shared" si="33"/>
        <v>2074.0740740740739</v>
      </c>
      <c r="I219" s="15">
        <f t="shared" si="34"/>
        <v>55999.999999999993</v>
      </c>
      <c r="J219" s="14">
        <f t="shared" si="35"/>
        <v>6719.9999999999991</v>
      </c>
      <c r="K219" s="15">
        <f t="shared" si="36"/>
        <v>419.99999999999994</v>
      </c>
      <c r="L219" s="15">
        <f t="shared" si="37"/>
        <v>48859.999999999993</v>
      </c>
      <c r="M219" s="14"/>
      <c r="N219" s="14"/>
    </row>
    <row r="220" ht="14.25">
      <c r="A220" s="14">
        <v>218</v>
      </c>
      <c r="B220" s="14" t="str">
        <f t="shared" si="31"/>
        <v>Empl_218</v>
      </c>
      <c r="C220" s="14" t="s">
        <v>10</v>
      </c>
      <c r="D220" s="14">
        <v>20000</v>
      </c>
      <c r="E220" s="14">
        <f t="shared" ca="1" si="38"/>
        <v>30</v>
      </c>
      <c r="F220" s="14">
        <v>26</v>
      </c>
      <c r="G220" s="14">
        <f t="shared" si="32"/>
        <v>4</v>
      </c>
      <c r="H220" s="15">
        <f t="shared" si="33"/>
        <v>769.23076923076928</v>
      </c>
      <c r="I220" s="15">
        <f t="shared" si="34"/>
        <v>20000</v>
      </c>
      <c r="J220" s="14">
        <f t="shared" si="35"/>
        <v>2400</v>
      </c>
      <c r="K220" s="15">
        <f t="shared" si="36"/>
        <v>150</v>
      </c>
      <c r="L220" s="15">
        <f t="shared" si="37"/>
        <v>17450</v>
      </c>
      <c r="M220" s="14"/>
      <c r="N220" s="14"/>
    </row>
    <row r="221" ht="14.25">
      <c r="A221" s="14">
        <v>219</v>
      </c>
      <c r="B221" s="14" t="str">
        <f t="shared" si="31"/>
        <v>Empl_219</v>
      </c>
      <c r="C221" s="14" t="s">
        <v>13</v>
      </c>
      <c r="D221" s="14">
        <v>23000</v>
      </c>
      <c r="E221" s="14">
        <f t="shared" ca="1" si="38"/>
        <v>30</v>
      </c>
      <c r="F221" s="14">
        <v>22</v>
      </c>
      <c r="G221" s="14">
        <f t="shared" si="32"/>
        <v>8</v>
      </c>
      <c r="H221" s="15">
        <f t="shared" si="33"/>
        <v>1045.4545454545455</v>
      </c>
      <c r="I221" s="15">
        <f t="shared" si="34"/>
        <v>23000</v>
      </c>
      <c r="J221" s="14">
        <f t="shared" si="35"/>
        <v>2760</v>
      </c>
      <c r="K221" s="15">
        <f t="shared" si="36"/>
        <v>172.5</v>
      </c>
      <c r="L221" s="15">
        <f t="shared" si="37"/>
        <v>20067.5</v>
      </c>
      <c r="M221" s="14"/>
      <c r="N221" s="14"/>
    </row>
    <row r="222" ht="14.25">
      <c r="A222" s="14">
        <v>220</v>
      </c>
      <c r="B222" s="14" t="str">
        <f t="shared" si="31"/>
        <v>Empl_220</v>
      </c>
      <c r="C222" s="14" t="s">
        <v>9</v>
      </c>
      <c r="D222" s="14">
        <v>59000</v>
      </c>
      <c r="E222" s="14">
        <f t="shared" ca="1" si="38"/>
        <v>30</v>
      </c>
      <c r="F222" s="14">
        <v>21</v>
      </c>
      <c r="G222" s="14">
        <f t="shared" si="32"/>
        <v>9</v>
      </c>
      <c r="H222" s="15">
        <f t="shared" si="33"/>
        <v>2809.5238095238096</v>
      </c>
      <c r="I222" s="15">
        <f t="shared" si="34"/>
        <v>59000</v>
      </c>
      <c r="J222" s="14">
        <f t="shared" si="35"/>
        <v>7080</v>
      </c>
      <c r="K222" s="15">
        <f t="shared" si="36"/>
        <v>442.5</v>
      </c>
      <c r="L222" s="15">
        <f t="shared" si="37"/>
        <v>51477.5</v>
      </c>
      <c r="M222" s="14"/>
      <c r="N222" s="14"/>
    </row>
    <row r="223" ht="14.25">
      <c r="A223" s="14">
        <v>221</v>
      </c>
      <c r="B223" s="14" t="str">
        <f t="shared" si="31"/>
        <v>Empl_221</v>
      </c>
      <c r="C223" s="14" t="s">
        <v>11</v>
      </c>
      <c r="D223" s="14">
        <v>41000</v>
      </c>
      <c r="E223" s="14">
        <f t="shared" ca="1" si="38"/>
        <v>30</v>
      </c>
      <c r="F223" s="14">
        <v>25</v>
      </c>
      <c r="G223" s="14">
        <f t="shared" si="32"/>
        <v>5</v>
      </c>
      <c r="H223" s="15">
        <f t="shared" si="33"/>
        <v>1640</v>
      </c>
      <c r="I223" s="15">
        <f t="shared" si="34"/>
        <v>41000</v>
      </c>
      <c r="J223" s="14">
        <f t="shared" si="35"/>
        <v>4920</v>
      </c>
      <c r="K223" s="15">
        <f t="shared" si="36"/>
        <v>307.5</v>
      </c>
      <c r="L223" s="15">
        <f t="shared" si="37"/>
        <v>35772.5</v>
      </c>
      <c r="M223" s="14"/>
      <c r="N223" s="14"/>
    </row>
    <row r="224" ht="14.25">
      <c r="A224" s="14">
        <v>222</v>
      </c>
      <c r="B224" s="14" t="str">
        <f t="shared" si="31"/>
        <v>Empl_222</v>
      </c>
      <c r="C224" s="14" t="s">
        <v>8</v>
      </c>
      <c r="D224" s="14">
        <v>30000</v>
      </c>
      <c r="E224" s="14">
        <f t="shared" ca="1" si="38"/>
        <v>30</v>
      </c>
      <c r="F224" s="14">
        <v>24</v>
      </c>
      <c r="G224" s="14">
        <f t="shared" si="32"/>
        <v>6</v>
      </c>
      <c r="H224" s="15">
        <f t="shared" si="33"/>
        <v>1250</v>
      </c>
      <c r="I224" s="15">
        <f t="shared" si="34"/>
        <v>30000</v>
      </c>
      <c r="J224" s="14">
        <f t="shared" si="35"/>
        <v>3600</v>
      </c>
      <c r="K224" s="15">
        <f t="shared" si="36"/>
        <v>225</v>
      </c>
      <c r="L224" s="15">
        <f t="shared" si="37"/>
        <v>26175</v>
      </c>
      <c r="M224" s="14"/>
      <c r="N224" s="14"/>
    </row>
    <row r="225" ht="14.25">
      <c r="A225" s="14">
        <v>223</v>
      </c>
      <c r="B225" s="14" t="str">
        <f t="shared" si="31"/>
        <v>Empl_223</v>
      </c>
      <c r="C225" s="14" t="s">
        <v>12</v>
      </c>
      <c r="D225" s="14">
        <v>15000</v>
      </c>
      <c r="E225" s="14">
        <f t="shared" ca="1" si="38"/>
        <v>30</v>
      </c>
      <c r="F225" s="14">
        <v>26</v>
      </c>
      <c r="G225" s="14">
        <f t="shared" si="32"/>
        <v>4</v>
      </c>
      <c r="H225" s="15">
        <f t="shared" si="33"/>
        <v>576.92307692307691</v>
      </c>
      <c r="I225" s="15">
        <f t="shared" si="34"/>
        <v>15000</v>
      </c>
      <c r="J225" s="14">
        <f t="shared" si="35"/>
        <v>1800</v>
      </c>
      <c r="K225" s="15">
        <f t="shared" si="36"/>
        <v>112.5</v>
      </c>
      <c r="L225" s="15">
        <f t="shared" si="37"/>
        <v>13087.5</v>
      </c>
      <c r="M225" s="14"/>
      <c r="N225" s="14"/>
    </row>
    <row r="226" ht="14.25">
      <c r="A226" s="14">
        <v>224</v>
      </c>
      <c r="B226" s="14" t="str">
        <f t="shared" si="31"/>
        <v>Empl_224</v>
      </c>
      <c r="C226" s="14" t="s">
        <v>10</v>
      </c>
      <c r="D226" s="14">
        <v>20000</v>
      </c>
      <c r="E226" s="14">
        <f t="shared" ca="1" si="38"/>
        <v>30</v>
      </c>
      <c r="F226" s="14">
        <v>22</v>
      </c>
      <c r="G226" s="14">
        <f t="shared" si="32"/>
        <v>8</v>
      </c>
      <c r="H226" s="15">
        <f t="shared" si="33"/>
        <v>909.09090909090912</v>
      </c>
      <c r="I226" s="15">
        <f t="shared" si="34"/>
        <v>20000</v>
      </c>
      <c r="J226" s="14">
        <f t="shared" si="35"/>
        <v>2400</v>
      </c>
      <c r="K226" s="15">
        <f t="shared" si="36"/>
        <v>150</v>
      </c>
      <c r="L226" s="15">
        <f t="shared" si="37"/>
        <v>17450</v>
      </c>
      <c r="M226" s="14"/>
      <c r="N226" s="14"/>
    </row>
    <row r="227" ht="14.25">
      <c r="A227" s="14">
        <v>225</v>
      </c>
      <c r="B227" s="14" t="str">
        <f t="shared" si="31"/>
        <v>Empl_225</v>
      </c>
      <c r="C227" s="14" t="s">
        <v>13</v>
      </c>
      <c r="D227" s="14">
        <v>20000</v>
      </c>
      <c r="E227" s="14">
        <f t="shared" ca="1" si="38"/>
        <v>30</v>
      </c>
      <c r="F227" s="14">
        <v>28</v>
      </c>
      <c r="G227" s="14">
        <f t="shared" si="32"/>
        <v>2</v>
      </c>
      <c r="H227" s="15">
        <f t="shared" si="33"/>
        <v>714.28571428571433</v>
      </c>
      <c r="I227" s="15">
        <f t="shared" si="34"/>
        <v>20000</v>
      </c>
      <c r="J227" s="14">
        <f t="shared" si="35"/>
        <v>2400</v>
      </c>
      <c r="K227" s="15">
        <f t="shared" si="36"/>
        <v>150</v>
      </c>
      <c r="L227" s="15">
        <f t="shared" si="37"/>
        <v>17450</v>
      </c>
      <c r="M227" s="14"/>
      <c r="N227" s="14"/>
    </row>
    <row r="228" ht="14.25">
      <c r="A228" s="14">
        <v>226</v>
      </c>
      <c r="B228" s="14" t="str">
        <f t="shared" ref="B228:B291" si="39">"Empl_"&amp;A228</f>
        <v>Empl_226</v>
      </c>
      <c r="C228" s="14" t="s">
        <v>9</v>
      </c>
      <c r="D228" s="14">
        <v>53000</v>
      </c>
      <c r="E228" s="14">
        <f t="shared" ca="1" si="38"/>
        <v>30</v>
      </c>
      <c r="F228" s="14">
        <v>23</v>
      </c>
      <c r="G228" s="14">
        <f t="shared" ref="G228:G291" si="40">E228-F228</f>
        <v>7</v>
      </c>
      <c r="H228" s="15">
        <f t="shared" ref="H228:H291" si="41">D228/F228</f>
        <v>2304.3478260869565</v>
      </c>
      <c r="I228" s="15">
        <f t="shared" ref="I228:I291" si="42">H228*F228</f>
        <v>53000</v>
      </c>
      <c r="J228" s="14">
        <f t="shared" ref="J228:J291" si="43">I228*12%</f>
        <v>6360</v>
      </c>
      <c r="K228" s="15">
        <f t="shared" ref="K228:K291" si="44">I228*0.75%</f>
        <v>397.5</v>
      </c>
      <c r="L228" s="15">
        <f t="shared" ref="L228:L291" si="45">I228-(J228+K228)</f>
        <v>46242.5</v>
      </c>
      <c r="M228" s="14"/>
      <c r="N228" s="14"/>
    </row>
    <row r="229" ht="14.25">
      <c r="A229" s="14">
        <v>227</v>
      </c>
      <c r="B229" s="14" t="str">
        <f t="shared" si="39"/>
        <v>Empl_227</v>
      </c>
      <c r="C229" s="14" t="s">
        <v>11</v>
      </c>
      <c r="D229" s="14">
        <v>40000</v>
      </c>
      <c r="E229" s="14">
        <f t="shared" ca="1" si="38"/>
        <v>30</v>
      </c>
      <c r="F229" s="14">
        <v>25</v>
      </c>
      <c r="G229" s="14">
        <f t="shared" si="40"/>
        <v>5</v>
      </c>
      <c r="H229" s="15">
        <f t="shared" si="41"/>
        <v>1600</v>
      </c>
      <c r="I229" s="15">
        <f t="shared" si="42"/>
        <v>40000</v>
      </c>
      <c r="J229" s="14">
        <f t="shared" si="43"/>
        <v>4800</v>
      </c>
      <c r="K229" s="15">
        <f t="shared" si="44"/>
        <v>300</v>
      </c>
      <c r="L229" s="15">
        <f t="shared" si="45"/>
        <v>34900</v>
      </c>
      <c r="M229" s="14"/>
      <c r="N229" s="14"/>
    </row>
    <row r="230" ht="14.25">
      <c r="A230" s="14">
        <v>228</v>
      </c>
      <c r="B230" s="14" t="str">
        <f t="shared" si="39"/>
        <v>Empl_228</v>
      </c>
      <c r="C230" s="14" t="s">
        <v>8</v>
      </c>
      <c r="D230" s="14">
        <v>50000</v>
      </c>
      <c r="E230" s="14">
        <f t="shared" ca="1" si="38"/>
        <v>30</v>
      </c>
      <c r="F230" s="14">
        <v>30</v>
      </c>
      <c r="G230" s="14">
        <f t="shared" si="40"/>
        <v>0</v>
      </c>
      <c r="H230" s="15">
        <f t="shared" si="41"/>
        <v>1666.6666666666667</v>
      </c>
      <c r="I230" s="15">
        <f t="shared" si="42"/>
        <v>50000</v>
      </c>
      <c r="J230" s="14">
        <f t="shared" si="43"/>
        <v>6000</v>
      </c>
      <c r="K230" s="15">
        <f t="shared" si="44"/>
        <v>375</v>
      </c>
      <c r="L230" s="15">
        <f t="shared" si="45"/>
        <v>43625</v>
      </c>
      <c r="M230" s="14"/>
      <c r="N230" s="14"/>
    </row>
    <row r="231" ht="14.25">
      <c r="A231" s="14">
        <v>229</v>
      </c>
      <c r="B231" s="14" t="str">
        <f t="shared" si="39"/>
        <v>Empl_229</v>
      </c>
      <c r="C231" s="14" t="s">
        <v>12</v>
      </c>
      <c r="D231" s="14">
        <v>36000</v>
      </c>
      <c r="E231" s="14">
        <f t="shared" ca="1" si="38"/>
        <v>30</v>
      </c>
      <c r="F231" s="14">
        <v>20</v>
      </c>
      <c r="G231" s="14">
        <f t="shared" si="40"/>
        <v>10</v>
      </c>
      <c r="H231" s="15">
        <f t="shared" si="41"/>
        <v>1800</v>
      </c>
      <c r="I231" s="15">
        <f t="shared" si="42"/>
        <v>36000</v>
      </c>
      <c r="J231" s="14">
        <f t="shared" si="43"/>
        <v>4320</v>
      </c>
      <c r="K231" s="15">
        <f t="shared" si="44"/>
        <v>270</v>
      </c>
      <c r="L231" s="15">
        <f t="shared" si="45"/>
        <v>31410</v>
      </c>
      <c r="M231" s="14"/>
      <c r="N231" s="14"/>
    </row>
    <row r="232" ht="14.25">
      <c r="A232" s="14">
        <v>230</v>
      </c>
      <c r="B232" s="14" t="str">
        <f t="shared" si="39"/>
        <v>Empl_230</v>
      </c>
      <c r="C232" s="14" t="s">
        <v>10</v>
      </c>
      <c r="D232" s="14">
        <v>48000</v>
      </c>
      <c r="E232" s="14">
        <f t="shared" ca="1" si="38"/>
        <v>30</v>
      </c>
      <c r="F232" s="14">
        <v>22</v>
      </c>
      <c r="G232" s="14">
        <f t="shared" si="40"/>
        <v>8</v>
      </c>
      <c r="H232" s="15">
        <f t="shared" si="41"/>
        <v>2181.818181818182</v>
      </c>
      <c r="I232" s="15">
        <f t="shared" si="42"/>
        <v>48000</v>
      </c>
      <c r="J232" s="14">
        <f t="shared" si="43"/>
        <v>5760</v>
      </c>
      <c r="K232" s="15">
        <f t="shared" si="44"/>
        <v>360</v>
      </c>
      <c r="L232" s="15">
        <f t="shared" si="45"/>
        <v>41880</v>
      </c>
      <c r="M232" s="14"/>
      <c r="N232" s="14"/>
    </row>
    <row r="233" ht="14.25">
      <c r="A233" s="14">
        <v>231</v>
      </c>
      <c r="B233" s="14" t="str">
        <f t="shared" si="39"/>
        <v>Empl_231</v>
      </c>
      <c r="C233" s="14" t="s">
        <v>13</v>
      </c>
      <c r="D233" s="14">
        <v>35000</v>
      </c>
      <c r="E233" s="14">
        <f t="shared" ca="1" si="38"/>
        <v>30</v>
      </c>
      <c r="F233" s="14">
        <v>20</v>
      </c>
      <c r="G233" s="14">
        <f t="shared" si="40"/>
        <v>10</v>
      </c>
      <c r="H233" s="15">
        <f t="shared" si="41"/>
        <v>1750</v>
      </c>
      <c r="I233" s="15">
        <f t="shared" si="42"/>
        <v>35000</v>
      </c>
      <c r="J233" s="14">
        <f t="shared" si="43"/>
        <v>4200</v>
      </c>
      <c r="K233" s="15">
        <f t="shared" si="44"/>
        <v>262.5</v>
      </c>
      <c r="L233" s="15">
        <f t="shared" si="45"/>
        <v>30537.5</v>
      </c>
      <c r="M233" s="14"/>
      <c r="N233" s="14"/>
    </row>
    <row r="234" ht="14.25">
      <c r="A234" s="14">
        <v>232</v>
      </c>
      <c r="B234" s="14" t="str">
        <f t="shared" si="39"/>
        <v>Empl_232</v>
      </c>
      <c r="C234" s="14" t="s">
        <v>9</v>
      </c>
      <c r="D234" s="14">
        <v>23000</v>
      </c>
      <c r="E234" s="14">
        <f t="shared" ca="1" si="38"/>
        <v>30</v>
      </c>
      <c r="F234" s="14">
        <v>30</v>
      </c>
      <c r="G234" s="14">
        <f t="shared" si="40"/>
        <v>0</v>
      </c>
      <c r="H234" s="15">
        <f t="shared" si="41"/>
        <v>766.66666666666663</v>
      </c>
      <c r="I234" s="15">
        <f t="shared" si="42"/>
        <v>23000</v>
      </c>
      <c r="J234" s="14">
        <f t="shared" si="43"/>
        <v>2760</v>
      </c>
      <c r="K234" s="15">
        <f t="shared" si="44"/>
        <v>172.5</v>
      </c>
      <c r="L234" s="15">
        <f t="shared" si="45"/>
        <v>20067.5</v>
      </c>
      <c r="M234" s="14"/>
      <c r="N234" s="14"/>
    </row>
    <row r="235" ht="14.25">
      <c r="A235" s="14">
        <v>233</v>
      </c>
      <c r="B235" s="14" t="str">
        <f t="shared" si="39"/>
        <v>Empl_233</v>
      </c>
      <c r="C235" s="14" t="s">
        <v>11</v>
      </c>
      <c r="D235" s="14">
        <v>47000</v>
      </c>
      <c r="E235" s="14">
        <f t="shared" ca="1" si="38"/>
        <v>30</v>
      </c>
      <c r="F235" s="14">
        <v>30</v>
      </c>
      <c r="G235" s="14">
        <f t="shared" si="40"/>
        <v>0</v>
      </c>
      <c r="H235" s="15">
        <f t="shared" si="41"/>
        <v>1566.6666666666667</v>
      </c>
      <c r="I235" s="15">
        <f t="shared" si="42"/>
        <v>47000</v>
      </c>
      <c r="J235" s="14">
        <f t="shared" si="43"/>
        <v>5640</v>
      </c>
      <c r="K235" s="15">
        <f t="shared" si="44"/>
        <v>352.5</v>
      </c>
      <c r="L235" s="15">
        <f t="shared" si="45"/>
        <v>41007.5</v>
      </c>
      <c r="M235" s="14"/>
      <c r="N235" s="14"/>
    </row>
    <row r="236" ht="14.25">
      <c r="A236" s="14">
        <v>234</v>
      </c>
      <c r="B236" s="14" t="str">
        <f t="shared" si="39"/>
        <v>Empl_234</v>
      </c>
      <c r="C236" s="14" t="s">
        <v>8</v>
      </c>
      <c r="D236" s="14">
        <v>60000</v>
      </c>
      <c r="E236" s="14">
        <f t="shared" ca="1" si="38"/>
        <v>30</v>
      </c>
      <c r="F236" s="14">
        <v>27</v>
      </c>
      <c r="G236" s="14">
        <f t="shared" si="40"/>
        <v>3</v>
      </c>
      <c r="H236" s="15">
        <f t="shared" si="41"/>
        <v>2222.2222222222222</v>
      </c>
      <c r="I236" s="15">
        <f t="shared" si="42"/>
        <v>60000</v>
      </c>
      <c r="J236" s="14">
        <f t="shared" si="43"/>
        <v>7200</v>
      </c>
      <c r="K236" s="15">
        <f t="shared" si="44"/>
        <v>450</v>
      </c>
      <c r="L236" s="15">
        <f t="shared" si="45"/>
        <v>52350</v>
      </c>
      <c r="M236" s="14"/>
      <c r="N236" s="14"/>
    </row>
    <row r="237" ht="14.25">
      <c r="A237" s="14">
        <v>235</v>
      </c>
      <c r="B237" s="14" t="str">
        <f t="shared" si="39"/>
        <v>Empl_235</v>
      </c>
      <c r="C237" s="14" t="s">
        <v>12</v>
      </c>
      <c r="D237" s="14">
        <v>40000</v>
      </c>
      <c r="E237" s="14">
        <f t="shared" ca="1" si="38"/>
        <v>30</v>
      </c>
      <c r="F237" s="14">
        <v>30</v>
      </c>
      <c r="G237" s="14">
        <f t="shared" si="40"/>
        <v>0</v>
      </c>
      <c r="H237" s="15">
        <f t="shared" si="41"/>
        <v>1333.3333333333333</v>
      </c>
      <c r="I237" s="15">
        <f t="shared" si="42"/>
        <v>40000</v>
      </c>
      <c r="J237" s="14">
        <f t="shared" si="43"/>
        <v>4800</v>
      </c>
      <c r="K237" s="15">
        <f t="shared" si="44"/>
        <v>300</v>
      </c>
      <c r="L237" s="15">
        <f t="shared" si="45"/>
        <v>34900</v>
      </c>
      <c r="M237" s="14"/>
      <c r="N237" s="14"/>
    </row>
    <row r="238" ht="14.25">
      <c r="A238" s="14">
        <v>236</v>
      </c>
      <c r="B238" s="14" t="str">
        <f t="shared" si="39"/>
        <v>Empl_236</v>
      </c>
      <c r="C238" s="14" t="s">
        <v>10</v>
      </c>
      <c r="D238" s="14">
        <v>51000</v>
      </c>
      <c r="E238" s="14">
        <f t="shared" ca="1" si="38"/>
        <v>30</v>
      </c>
      <c r="F238" s="14">
        <v>22</v>
      </c>
      <c r="G238" s="14">
        <f t="shared" si="40"/>
        <v>8</v>
      </c>
      <c r="H238" s="15">
        <f t="shared" si="41"/>
        <v>2318.181818181818</v>
      </c>
      <c r="I238" s="15">
        <f t="shared" si="42"/>
        <v>51000</v>
      </c>
      <c r="J238" s="14">
        <f t="shared" si="43"/>
        <v>6120</v>
      </c>
      <c r="K238" s="15">
        <f t="shared" si="44"/>
        <v>382.5</v>
      </c>
      <c r="L238" s="15">
        <f t="shared" si="45"/>
        <v>44497.5</v>
      </c>
      <c r="M238" s="14"/>
      <c r="N238" s="14"/>
    </row>
    <row r="239" ht="14.25">
      <c r="A239" s="14">
        <v>237</v>
      </c>
      <c r="B239" s="14" t="str">
        <f t="shared" si="39"/>
        <v>Empl_237</v>
      </c>
      <c r="C239" s="14" t="s">
        <v>13</v>
      </c>
      <c r="D239" s="14">
        <v>53000</v>
      </c>
      <c r="E239" s="14">
        <f t="shared" ca="1" si="38"/>
        <v>30</v>
      </c>
      <c r="F239" s="14">
        <v>29</v>
      </c>
      <c r="G239" s="14">
        <f t="shared" si="40"/>
        <v>1</v>
      </c>
      <c r="H239" s="15">
        <f t="shared" si="41"/>
        <v>1827.5862068965516</v>
      </c>
      <c r="I239" s="15">
        <f t="shared" si="42"/>
        <v>53000</v>
      </c>
      <c r="J239" s="14">
        <f t="shared" si="43"/>
        <v>6360</v>
      </c>
      <c r="K239" s="15">
        <f t="shared" si="44"/>
        <v>397.5</v>
      </c>
      <c r="L239" s="15">
        <f t="shared" si="45"/>
        <v>46242.5</v>
      </c>
      <c r="M239" s="14"/>
      <c r="N239" s="14"/>
    </row>
    <row r="240" ht="14.25">
      <c r="A240" s="14">
        <v>238</v>
      </c>
      <c r="B240" s="14" t="str">
        <f t="shared" si="39"/>
        <v>Empl_238</v>
      </c>
      <c r="C240" s="14" t="s">
        <v>9</v>
      </c>
      <c r="D240" s="14">
        <v>51000</v>
      </c>
      <c r="E240" s="14">
        <f t="shared" ca="1" si="38"/>
        <v>30</v>
      </c>
      <c r="F240" s="14">
        <v>26</v>
      </c>
      <c r="G240" s="14">
        <f t="shared" si="40"/>
        <v>4</v>
      </c>
      <c r="H240" s="15">
        <f t="shared" si="41"/>
        <v>1961.5384615384614</v>
      </c>
      <c r="I240" s="15">
        <f t="shared" si="42"/>
        <v>51000</v>
      </c>
      <c r="J240" s="14">
        <f t="shared" si="43"/>
        <v>6120</v>
      </c>
      <c r="K240" s="15">
        <f t="shared" si="44"/>
        <v>382.5</v>
      </c>
      <c r="L240" s="15">
        <f t="shared" si="45"/>
        <v>44497.5</v>
      </c>
      <c r="M240" s="14"/>
      <c r="N240" s="14"/>
    </row>
    <row r="241" ht="14.25">
      <c r="A241" s="14">
        <v>239</v>
      </c>
      <c r="B241" s="14" t="str">
        <f t="shared" si="39"/>
        <v>Empl_239</v>
      </c>
      <c r="C241" s="14" t="s">
        <v>11</v>
      </c>
      <c r="D241" s="14">
        <v>20000</v>
      </c>
      <c r="E241" s="14">
        <f t="shared" ca="1" si="38"/>
        <v>30</v>
      </c>
      <c r="F241" s="14">
        <v>22</v>
      </c>
      <c r="G241" s="14">
        <f t="shared" si="40"/>
        <v>8</v>
      </c>
      <c r="H241" s="15">
        <f t="shared" si="41"/>
        <v>909.09090909090912</v>
      </c>
      <c r="I241" s="15">
        <f t="shared" si="42"/>
        <v>20000</v>
      </c>
      <c r="J241" s="14">
        <f t="shared" si="43"/>
        <v>2400</v>
      </c>
      <c r="K241" s="15">
        <f t="shared" si="44"/>
        <v>150</v>
      </c>
      <c r="L241" s="15">
        <f t="shared" si="45"/>
        <v>17450</v>
      </c>
      <c r="M241" s="14"/>
      <c r="N241" s="14"/>
    </row>
    <row r="242" ht="14.25">
      <c r="A242" s="14">
        <v>240</v>
      </c>
      <c r="B242" s="14" t="str">
        <f t="shared" si="39"/>
        <v>Empl_240</v>
      </c>
      <c r="C242" s="14" t="s">
        <v>8</v>
      </c>
      <c r="D242" s="14">
        <v>39000</v>
      </c>
      <c r="E242" s="14">
        <f t="shared" ca="1" si="38"/>
        <v>30</v>
      </c>
      <c r="F242" s="14">
        <v>20</v>
      </c>
      <c r="G242" s="14">
        <f t="shared" si="40"/>
        <v>10</v>
      </c>
      <c r="H242" s="15">
        <f t="shared" si="41"/>
        <v>1950</v>
      </c>
      <c r="I242" s="15">
        <f t="shared" si="42"/>
        <v>39000</v>
      </c>
      <c r="J242" s="14">
        <f t="shared" si="43"/>
        <v>4680</v>
      </c>
      <c r="K242" s="15">
        <f t="shared" si="44"/>
        <v>292.5</v>
      </c>
      <c r="L242" s="15">
        <f t="shared" si="45"/>
        <v>34027.5</v>
      </c>
      <c r="M242" s="14"/>
      <c r="N242" s="14"/>
    </row>
    <row r="243" ht="14.25">
      <c r="A243" s="14">
        <v>241</v>
      </c>
      <c r="B243" s="14" t="str">
        <f t="shared" si="39"/>
        <v>Empl_241</v>
      </c>
      <c r="C243" s="14" t="s">
        <v>12</v>
      </c>
      <c r="D243" s="14">
        <v>36000</v>
      </c>
      <c r="E243" s="14">
        <f t="shared" ca="1" si="38"/>
        <v>30</v>
      </c>
      <c r="F243" s="14">
        <v>23</v>
      </c>
      <c r="G243" s="14">
        <f t="shared" si="40"/>
        <v>7</v>
      </c>
      <c r="H243" s="15">
        <f t="shared" si="41"/>
        <v>1565.2173913043478</v>
      </c>
      <c r="I243" s="15">
        <f t="shared" si="42"/>
        <v>36000</v>
      </c>
      <c r="J243" s="14">
        <f t="shared" si="43"/>
        <v>4320</v>
      </c>
      <c r="K243" s="15">
        <f t="shared" si="44"/>
        <v>270</v>
      </c>
      <c r="L243" s="15">
        <f t="shared" si="45"/>
        <v>31410</v>
      </c>
      <c r="M243" s="14"/>
      <c r="N243" s="14"/>
    </row>
    <row r="244" ht="14.25">
      <c r="A244" s="14">
        <v>242</v>
      </c>
      <c r="B244" s="14" t="str">
        <f t="shared" si="39"/>
        <v>Empl_242</v>
      </c>
      <c r="C244" s="14" t="s">
        <v>10</v>
      </c>
      <c r="D244" s="14">
        <v>31000</v>
      </c>
      <c r="E244" s="14">
        <f t="shared" ca="1" si="38"/>
        <v>30</v>
      </c>
      <c r="F244" s="14">
        <v>25</v>
      </c>
      <c r="G244" s="14">
        <f t="shared" si="40"/>
        <v>5</v>
      </c>
      <c r="H244" s="15">
        <f t="shared" si="41"/>
        <v>1240</v>
      </c>
      <c r="I244" s="15">
        <f t="shared" si="42"/>
        <v>31000</v>
      </c>
      <c r="J244" s="14">
        <f t="shared" si="43"/>
        <v>3720</v>
      </c>
      <c r="K244" s="15">
        <f t="shared" si="44"/>
        <v>232.5</v>
      </c>
      <c r="L244" s="15">
        <f t="shared" si="45"/>
        <v>27047.5</v>
      </c>
      <c r="M244" s="14"/>
      <c r="N244" s="14"/>
    </row>
    <row r="245" ht="14.25">
      <c r="A245" s="14">
        <v>243</v>
      </c>
      <c r="B245" s="14" t="str">
        <f t="shared" si="39"/>
        <v>Empl_243</v>
      </c>
      <c r="C245" s="14" t="s">
        <v>13</v>
      </c>
      <c r="D245" s="14">
        <v>33000</v>
      </c>
      <c r="E245" s="14">
        <f t="shared" ca="1" si="38"/>
        <v>30</v>
      </c>
      <c r="F245" s="14">
        <v>25</v>
      </c>
      <c r="G245" s="14">
        <f t="shared" si="40"/>
        <v>5</v>
      </c>
      <c r="H245" s="15">
        <f t="shared" si="41"/>
        <v>1320</v>
      </c>
      <c r="I245" s="15">
        <f t="shared" si="42"/>
        <v>33000</v>
      </c>
      <c r="J245" s="14">
        <f t="shared" si="43"/>
        <v>3960</v>
      </c>
      <c r="K245" s="15">
        <f t="shared" si="44"/>
        <v>247.5</v>
      </c>
      <c r="L245" s="15">
        <f t="shared" si="45"/>
        <v>28792.5</v>
      </c>
      <c r="M245" s="14"/>
      <c r="N245" s="14"/>
    </row>
    <row r="246" ht="14.25">
      <c r="A246" s="14">
        <v>244</v>
      </c>
      <c r="B246" s="14" t="str">
        <f t="shared" si="39"/>
        <v>Empl_244</v>
      </c>
      <c r="C246" s="14" t="s">
        <v>9</v>
      </c>
      <c r="D246" s="14">
        <v>16000</v>
      </c>
      <c r="E246" s="14">
        <f t="shared" ca="1" si="38"/>
        <v>30</v>
      </c>
      <c r="F246" s="14">
        <v>23</v>
      </c>
      <c r="G246" s="14">
        <f t="shared" si="40"/>
        <v>7</v>
      </c>
      <c r="H246" s="15">
        <f t="shared" si="41"/>
        <v>695.6521739130435</v>
      </c>
      <c r="I246" s="15">
        <f t="shared" si="42"/>
        <v>16000</v>
      </c>
      <c r="J246" s="14">
        <f t="shared" si="43"/>
        <v>1920</v>
      </c>
      <c r="K246" s="15">
        <f t="shared" si="44"/>
        <v>120</v>
      </c>
      <c r="L246" s="15">
        <f t="shared" si="45"/>
        <v>13960</v>
      </c>
      <c r="M246" s="14"/>
      <c r="N246" s="14"/>
    </row>
    <row r="247" ht="14.25">
      <c r="A247" s="14">
        <v>245</v>
      </c>
      <c r="B247" s="14" t="str">
        <f t="shared" si="39"/>
        <v>Empl_245</v>
      </c>
      <c r="C247" s="14" t="s">
        <v>11</v>
      </c>
      <c r="D247" s="14">
        <v>55000</v>
      </c>
      <c r="E247" s="14">
        <f t="shared" ca="1" si="38"/>
        <v>30</v>
      </c>
      <c r="F247" s="14">
        <v>30</v>
      </c>
      <c r="G247" s="14">
        <f t="shared" si="40"/>
        <v>0</v>
      </c>
      <c r="H247" s="15">
        <f t="shared" si="41"/>
        <v>1833.3333333333333</v>
      </c>
      <c r="I247" s="15">
        <f t="shared" si="42"/>
        <v>55000</v>
      </c>
      <c r="J247" s="14">
        <f t="shared" si="43"/>
        <v>6600</v>
      </c>
      <c r="K247" s="15">
        <f t="shared" si="44"/>
        <v>412.5</v>
      </c>
      <c r="L247" s="15">
        <f t="shared" si="45"/>
        <v>47987.5</v>
      </c>
      <c r="M247" s="14"/>
      <c r="N247" s="14"/>
    </row>
    <row r="248" ht="14.25">
      <c r="A248" s="14">
        <v>246</v>
      </c>
      <c r="B248" s="14" t="str">
        <f t="shared" si="39"/>
        <v>Empl_246</v>
      </c>
      <c r="C248" s="14" t="s">
        <v>8</v>
      </c>
      <c r="D248" s="14">
        <v>20000</v>
      </c>
      <c r="E248" s="14">
        <f t="shared" ca="1" si="38"/>
        <v>30</v>
      </c>
      <c r="F248" s="14">
        <v>27</v>
      </c>
      <c r="G248" s="14">
        <f t="shared" si="40"/>
        <v>3</v>
      </c>
      <c r="H248" s="15">
        <f t="shared" si="41"/>
        <v>740.74074074074076</v>
      </c>
      <c r="I248" s="15">
        <f t="shared" si="42"/>
        <v>20000</v>
      </c>
      <c r="J248" s="14">
        <f t="shared" si="43"/>
        <v>2400</v>
      </c>
      <c r="K248" s="15">
        <f t="shared" si="44"/>
        <v>150</v>
      </c>
      <c r="L248" s="15">
        <f t="shared" si="45"/>
        <v>17450</v>
      </c>
      <c r="M248" s="14"/>
      <c r="N248" s="14"/>
    </row>
    <row r="249" ht="14.25">
      <c r="A249" s="14">
        <v>247</v>
      </c>
      <c r="B249" s="14" t="str">
        <f t="shared" si="39"/>
        <v>Empl_247</v>
      </c>
      <c r="C249" s="14" t="s">
        <v>12</v>
      </c>
      <c r="D249" s="14">
        <v>44000</v>
      </c>
      <c r="E249" s="14">
        <f t="shared" ca="1" si="38"/>
        <v>30</v>
      </c>
      <c r="F249" s="14">
        <v>27</v>
      </c>
      <c r="G249" s="14">
        <f t="shared" si="40"/>
        <v>3</v>
      </c>
      <c r="H249" s="15">
        <f t="shared" si="41"/>
        <v>1629.6296296296296</v>
      </c>
      <c r="I249" s="15">
        <f t="shared" si="42"/>
        <v>44000</v>
      </c>
      <c r="J249" s="14">
        <f t="shared" si="43"/>
        <v>5280</v>
      </c>
      <c r="K249" s="15">
        <f t="shared" si="44"/>
        <v>330</v>
      </c>
      <c r="L249" s="15">
        <f t="shared" si="45"/>
        <v>38390</v>
      </c>
      <c r="M249" s="14"/>
      <c r="N249" s="14"/>
    </row>
    <row r="250" ht="14.25">
      <c r="A250" s="14">
        <v>248</v>
      </c>
      <c r="B250" s="14" t="str">
        <f t="shared" si="39"/>
        <v>Empl_248</v>
      </c>
      <c r="C250" s="14" t="s">
        <v>10</v>
      </c>
      <c r="D250" s="14">
        <v>60000</v>
      </c>
      <c r="E250" s="14">
        <f t="shared" ca="1" si="38"/>
        <v>30</v>
      </c>
      <c r="F250" s="14">
        <v>28</v>
      </c>
      <c r="G250" s="14">
        <f t="shared" si="40"/>
        <v>2</v>
      </c>
      <c r="H250" s="15">
        <f t="shared" si="41"/>
        <v>2142.8571428571427</v>
      </c>
      <c r="I250" s="15">
        <f t="shared" si="42"/>
        <v>59999.999999999993</v>
      </c>
      <c r="J250" s="14">
        <f t="shared" si="43"/>
        <v>7199.9999999999991</v>
      </c>
      <c r="K250" s="15">
        <f t="shared" si="44"/>
        <v>449.99999999999994</v>
      </c>
      <c r="L250" s="15">
        <f t="shared" si="45"/>
        <v>52349.999999999993</v>
      </c>
      <c r="M250" s="14"/>
      <c r="N250" s="14"/>
    </row>
    <row r="251" ht="14.25">
      <c r="A251" s="14">
        <v>249</v>
      </c>
      <c r="B251" s="14" t="str">
        <f t="shared" si="39"/>
        <v>Empl_249</v>
      </c>
      <c r="C251" s="14" t="s">
        <v>13</v>
      </c>
      <c r="D251" s="14">
        <v>48000</v>
      </c>
      <c r="E251" s="14">
        <f t="shared" ca="1" si="38"/>
        <v>30</v>
      </c>
      <c r="F251" s="14">
        <v>27</v>
      </c>
      <c r="G251" s="14">
        <f t="shared" si="40"/>
        <v>3</v>
      </c>
      <c r="H251" s="15">
        <f t="shared" si="41"/>
        <v>1777.7777777777778</v>
      </c>
      <c r="I251" s="15">
        <f t="shared" si="42"/>
        <v>48000</v>
      </c>
      <c r="J251" s="14">
        <f t="shared" si="43"/>
        <v>5760</v>
      </c>
      <c r="K251" s="15">
        <f t="shared" si="44"/>
        <v>360</v>
      </c>
      <c r="L251" s="15">
        <f t="shared" si="45"/>
        <v>41880</v>
      </c>
      <c r="M251" s="14"/>
      <c r="N251" s="14"/>
    </row>
    <row r="252" ht="14.25">
      <c r="A252" s="14">
        <v>250</v>
      </c>
      <c r="B252" s="14" t="str">
        <f t="shared" si="39"/>
        <v>Empl_250</v>
      </c>
      <c r="C252" s="14" t="s">
        <v>9</v>
      </c>
      <c r="D252" s="14">
        <v>16000</v>
      </c>
      <c r="E252" s="14">
        <f t="shared" ca="1" si="38"/>
        <v>30</v>
      </c>
      <c r="F252" s="14">
        <v>26</v>
      </c>
      <c r="G252" s="14">
        <f t="shared" si="40"/>
        <v>4</v>
      </c>
      <c r="H252" s="15">
        <f t="shared" si="41"/>
        <v>615.38461538461536</v>
      </c>
      <c r="I252" s="15">
        <f t="shared" si="42"/>
        <v>16000</v>
      </c>
      <c r="J252" s="14">
        <f t="shared" si="43"/>
        <v>1920</v>
      </c>
      <c r="K252" s="15">
        <f t="shared" si="44"/>
        <v>120</v>
      </c>
      <c r="L252" s="15">
        <f t="shared" si="45"/>
        <v>13960</v>
      </c>
      <c r="M252" s="14"/>
      <c r="N252" s="14"/>
    </row>
    <row r="253" ht="14.25">
      <c r="A253" s="14">
        <v>251</v>
      </c>
      <c r="B253" s="14" t="str">
        <f t="shared" si="39"/>
        <v>Empl_251</v>
      </c>
      <c r="C253" s="14" t="s">
        <v>11</v>
      </c>
      <c r="D253" s="14">
        <v>30000</v>
      </c>
      <c r="E253" s="14">
        <f t="shared" ca="1" si="38"/>
        <v>30</v>
      </c>
      <c r="F253" s="14">
        <v>23</v>
      </c>
      <c r="G253" s="14">
        <f t="shared" si="40"/>
        <v>7</v>
      </c>
      <c r="H253" s="15">
        <f t="shared" si="41"/>
        <v>1304.3478260869565</v>
      </c>
      <c r="I253" s="15">
        <f t="shared" si="42"/>
        <v>30000</v>
      </c>
      <c r="J253" s="14">
        <f t="shared" si="43"/>
        <v>3600</v>
      </c>
      <c r="K253" s="15">
        <f t="shared" si="44"/>
        <v>225</v>
      </c>
      <c r="L253" s="15">
        <f t="shared" si="45"/>
        <v>26175</v>
      </c>
      <c r="M253" s="14"/>
      <c r="N253" s="14"/>
    </row>
    <row r="254" ht="14.25">
      <c r="A254" s="14">
        <v>252</v>
      </c>
      <c r="B254" s="14" t="str">
        <f t="shared" si="39"/>
        <v>Empl_252</v>
      </c>
      <c r="C254" s="14" t="s">
        <v>8</v>
      </c>
      <c r="D254" s="14">
        <v>15000</v>
      </c>
      <c r="E254" s="14">
        <f t="shared" ca="1" si="38"/>
        <v>30</v>
      </c>
      <c r="F254" s="14">
        <v>21</v>
      </c>
      <c r="G254" s="14">
        <f t="shared" si="40"/>
        <v>9</v>
      </c>
      <c r="H254" s="15">
        <f t="shared" si="41"/>
        <v>714.28571428571433</v>
      </c>
      <c r="I254" s="15">
        <f t="shared" si="42"/>
        <v>15000.000000000002</v>
      </c>
      <c r="J254" s="14">
        <f t="shared" si="43"/>
        <v>1800.0000000000002</v>
      </c>
      <c r="K254" s="15">
        <f t="shared" si="44"/>
        <v>112.50000000000001</v>
      </c>
      <c r="L254" s="15">
        <f t="shared" si="45"/>
        <v>13087.500000000002</v>
      </c>
      <c r="M254" s="14"/>
      <c r="N254" s="14"/>
    </row>
    <row r="255" ht="14.25">
      <c r="A255" s="14">
        <v>253</v>
      </c>
      <c r="B255" s="14" t="str">
        <f t="shared" si="39"/>
        <v>Empl_253</v>
      </c>
      <c r="C255" s="14" t="s">
        <v>12</v>
      </c>
      <c r="D255" s="14">
        <v>22000</v>
      </c>
      <c r="E255" s="14">
        <f t="shared" ca="1" si="38"/>
        <v>30</v>
      </c>
      <c r="F255" s="14">
        <v>21</v>
      </c>
      <c r="G255" s="14">
        <f t="shared" si="40"/>
        <v>9</v>
      </c>
      <c r="H255" s="15">
        <f t="shared" si="41"/>
        <v>1047.6190476190477</v>
      </c>
      <c r="I255" s="15">
        <f t="shared" si="42"/>
        <v>22000</v>
      </c>
      <c r="J255" s="14">
        <f t="shared" si="43"/>
        <v>2640</v>
      </c>
      <c r="K255" s="15">
        <f t="shared" si="44"/>
        <v>165</v>
      </c>
      <c r="L255" s="15">
        <f t="shared" si="45"/>
        <v>19195</v>
      </c>
      <c r="M255" s="14"/>
      <c r="N255" s="14"/>
    </row>
    <row r="256" ht="14.25">
      <c r="A256" s="14">
        <v>254</v>
      </c>
      <c r="B256" s="14" t="str">
        <f t="shared" si="39"/>
        <v>Empl_254</v>
      </c>
      <c r="C256" s="14" t="s">
        <v>10</v>
      </c>
      <c r="D256" s="14">
        <v>60000</v>
      </c>
      <c r="E256" s="14">
        <f t="shared" ca="1" si="38"/>
        <v>30</v>
      </c>
      <c r="F256" s="14">
        <v>20</v>
      </c>
      <c r="G256" s="14">
        <f t="shared" si="40"/>
        <v>10</v>
      </c>
      <c r="H256" s="15">
        <f t="shared" si="41"/>
        <v>3000</v>
      </c>
      <c r="I256" s="15">
        <f t="shared" si="42"/>
        <v>60000</v>
      </c>
      <c r="J256" s="14">
        <f t="shared" si="43"/>
        <v>7200</v>
      </c>
      <c r="K256" s="15">
        <f t="shared" si="44"/>
        <v>450</v>
      </c>
      <c r="L256" s="15">
        <f t="shared" si="45"/>
        <v>52350</v>
      </c>
      <c r="M256" s="14"/>
      <c r="N256" s="14"/>
    </row>
    <row r="257" ht="14.25">
      <c r="A257" s="14">
        <v>255</v>
      </c>
      <c r="B257" s="14" t="str">
        <f t="shared" si="39"/>
        <v>Empl_255</v>
      </c>
      <c r="C257" s="14" t="s">
        <v>13</v>
      </c>
      <c r="D257" s="14">
        <v>23000</v>
      </c>
      <c r="E257" s="14">
        <f t="shared" ca="1" si="38"/>
        <v>30</v>
      </c>
      <c r="F257" s="14">
        <v>23</v>
      </c>
      <c r="G257" s="14">
        <f t="shared" si="40"/>
        <v>7</v>
      </c>
      <c r="H257" s="15">
        <f t="shared" si="41"/>
        <v>1000</v>
      </c>
      <c r="I257" s="15">
        <f t="shared" si="42"/>
        <v>23000</v>
      </c>
      <c r="J257" s="14">
        <f t="shared" si="43"/>
        <v>2760</v>
      </c>
      <c r="K257" s="15">
        <f t="shared" si="44"/>
        <v>172.5</v>
      </c>
      <c r="L257" s="15">
        <f t="shared" si="45"/>
        <v>20067.5</v>
      </c>
      <c r="M257" s="14"/>
      <c r="N257" s="14"/>
    </row>
    <row r="258" ht="14.25">
      <c r="A258" s="14">
        <v>256</v>
      </c>
      <c r="B258" s="14" t="str">
        <f t="shared" si="39"/>
        <v>Empl_256</v>
      </c>
      <c r="C258" s="14" t="s">
        <v>9</v>
      </c>
      <c r="D258" s="14">
        <v>31000</v>
      </c>
      <c r="E258" s="14">
        <f t="shared" ca="1" si="38"/>
        <v>30</v>
      </c>
      <c r="F258" s="14">
        <v>25</v>
      </c>
      <c r="G258" s="14">
        <f t="shared" si="40"/>
        <v>5</v>
      </c>
      <c r="H258" s="15">
        <f t="shared" si="41"/>
        <v>1240</v>
      </c>
      <c r="I258" s="15">
        <f t="shared" si="42"/>
        <v>31000</v>
      </c>
      <c r="J258" s="14">
        <f t="shared" si="43"/>
        <v>3720</v>
      </c>
      <c r="K258" s="15">
        <f t="shared" si="44"/>
        <v>232.5</v>
      </c>
      <c r="L258" s="15">
        <f t="shared" si="45"/>
        <v>27047.5</v>
      </c>
      <c r="M258" s="14"/>
      <c r="N258" s="14"/>
    </row>
    <row r="259" ht="14.25">
      <c r="A259" s="14">
        <v>257</v>
      </c>
      <c r="B259" s="14" t="str">
        <f t="shared" si="39"/>
        <v>Empl_257</v>
      </c>
      <c r="C259" s="14" t="s">
        <v>11</v>
      </c>
      <c r="D259" s="14">
        <v>16000</v>
      </c>
      <c r="E259" s="14">
        <f t="shared" ref="E259:E322" ca="1" si="46">DAY(EOMONTH(TODAY(),0))</f>
        <v>30</v>
      </c>
      <c r="F259" s="14">
        <v>24</v>
      </c>
      <c r="G259" s="14">
        <f t="shared" si="40"/>
        <v>6</v>
      </c>
      <c r="H259" s="15">
        <f t="shared" si="41"/>
        <v>666.66666666666663</v>
      </c>
      <c r="I259" s="15">
        <f t="shared" si="42"/>
        <v>16000</v>
      </c>
      <c r="J259" s="14">
        <f t="shared" si="43"/>
        <v>1920</v>
      </c>
      <c r="K259" s="15">
        <f t="shared" si="44"/>
        <v>120</v>
      </c>
      <c r="L259" s="15">
        <f t="shared" si="45"/>
        <v>13960</v>
      </c>
      <c r="M259" s="14"/>
      <c r="N259" s="14"/>
    </row>
    <row r="260" ht="14.25">
      <c r="A260" s="14">
        <v>258</v>
      </c>
      <c r="B260" s="14" t="str">
        <f t="shared" si="39"/>
        <v>Empl_258</v>
      </c>
      <c r="C260" s="14" t="s">
        <v>8</v>
      </c>
      <c r="D260" s="14">
        <v>47000</v>
      </c>
      <c r="E260" s="14">
        <f t="shared" ca="1" si="46"/>
        <v>30</v>
      </c>
      <c r="F260" s="14">
        <v>30</v>
      </c>
      <c r="G260" s="14">
        <f t="shared" si="40"/>
        <v>0</v>
      </c>
      <c r="H260" s="15">
        <f t="shared" si="41"/>
        <v>1566.6666666666667</v>
      </c>
      <c r="I260" s="15">
        <f t="shared" si="42"/>
        <v>47000</v>
      </c>
      <c r="J260" s="14">
        <f t="shared" si="43"/>
        <v>5640</v>
      </c>
      <c r="K260" s="15">
        <f t="shared" si="44"/>
        <v>352.5</v>
      </c>
      <c r="L260" s="15">
        <f t="shared" si="45"/>
        <v>41007.5</v>
      </c>
      <c r="M260" s="14"/>
      <c r="N260" s="14"/>
    </row>
    <row r="261" ht="14.25">
      <c r="A261" s="14">
        <v>259</v>
      </c>
      <c r="B261" s="14" t="str">
        <f t="shared" si="39"/>
        <v>Empl_259</v>
      </c>
      <c r="C261" s="14" t="s">
        <v>12</v>
      </c>
      <c r="D261" s="14">
        <v>32000</v>
      </c>
      <c r="E261" s="14">
        <f t="shared" ca="1" si="46"/>
        <v>30</v>
      </c>
      <c r="F261" s="14">
        <v>30</v>
      </c>
      <c r="G261" s="14">
        <f t="shared" si="40"/>
        <v>0</v>
      </c>
      <c r="H261" s="15">
        <f t="shared" si="41"/>
        <v>1066.6666666666667</v>
      </c>
      <c r="I261" s="15">
        <f t="shared" si="42"/>
        <v>32000.000000000004</v>
      </c>
      <c r="J261" s="14">
        <f t="shared" si="43"/>
        <v>3840.0000000000005</v>
      </c>
      <c r="K261" s="15">
        <f t="shared" si="44"/>
        <v>240.00000000000003</v>
      </c>
      <c r="L261" s="15">
        <f t="shared" si="45"/>
        <v>27920.000000000004</v>
      </c>
      <c r="M261" s="14"/>
      <c r="N261" s="14"/>
    </row>
    <row r="262" ht="14.25">
      <c r="A262" s="14">
        <v>260</v>
      </c>
      <c r="B262" s="14" t="str">
        <f t="shared" si="39"/>
        <v>Empl_260</v>
      </c>
      <c r="C262" s="14" t="s">
        <v>10</v>
      </c>
      <c r="D262" s="14">
        <v>26000</v>
      </c>
      <c r="E262" s="14">
        <f t="shared" ca="1" si="46"/>
        <v>30</v>
      </c>
      <c r="F262" s="14">
        <v>25</v>
      </c>
      <c r="G262" s="14">
        <f t="shared" si="40"/>
        <v>5</v>
      </c>
      <c r="H262" s="15">
        <f t="shared" si="41"/>
        <v>1040</v>
      </c>
      <c r="I262" s="15">
        <f t="shared" si="42"/>
        <v>26000</v>
      </c>
      <c r="J262" s="14">
        <f t="shared" si="43"/>
        <v>3120</v>
      </c>
      <c r="K262" s="15">
        <f t="shared" si="44"/>
        <v>195</v>
      </c>
      <c r="L262" s="15">
        <f t="shared" si="45"/>
        <v>22685</v>
      </c>
      <c r="M262" s="14"/>
      <c r="N262" s="14"/>
    </row>
    <row r="263" ht="14.25">
      <c r="A263" s="14">
        <v>261</v>
      </c>
      <c r="B263" s="14" t="str">
        <f t="shared" si="39"/>
        <v>Empl_261</v>
      </c>
      <c r="C263" s="14" t="s">
        <v>13</v>
      </c>
      <c r="D263" s="14">
        <v>31000</v>
      </c>
      <c r="E263" s="14">
        <f t="shared" ca="1" si="46"/>
        <v>30</v>
      </c>
      <c r="F263" s="14">
        <v>20</v>
      </c>
      <c r="G263" s="14">
        <f t="shared" si="40"/>
        <v>10</v>
      </c>
      <c r="H263" s="15">
        <f t="shared" si="41"/>
        <v>1550</v>
      </c>
      <c r="I263" s="15">
        <f t="shared" si="42"/>
        <v>31000</v>
      </c>
      <c r="J263" s="14">
        <f t="shared" si="43"/>
        <v>3720</v>
      </c>
      <c r="K263" s="15">
        <f t="shared" si="44"/>
        <v>232.5</v>
      </c>
      <c r="L263" s="15">
        <f t="shared" si="45"/>
        <v>27047.5</v>
      </c>
      <c r="M263" s="14"/>
      <c r="N263" s="14"/>
    </row>
    <row r="264" ht="14.25">
      <c r="A264" s="14">
        <v>262</v>
      </c>
      <c r="B264" s="14" t="str">
        <f t="shared" si="39"/>
        <v>Empl_262</v>
      </c>
      <c r="C264" s="14" t="s">
        <v>9</v>
      </c>
      <c r="D264" s="14">
        <v>15000</v>
      </c>
      <c r="E264" s="14">
        <f t="shared" ca="1" si="46"/>
        <v>30</v>
      </c>
      <c r="F264" s="14">
        <v>24</v>
      </c>
      <c r="G264" s="14">
        <f t="shared" si="40"/>
        <v>6</v>
      </c>
      <c r="H264" s="15">
        <f t="shared" si="41"/>
        <v>625</v>
      </c>
      <c r="I264" s="15">
        <f t="shared" si="42"/>
        <v>15000</v>
      </c>
      <c r="J264" s="14">
        <f t="shared" si="43"/>
        <v>1800</v>
      </c>
      <c r="K264" s="15">
        <f t="shared" si="44"/>
        <v>112.5</v>
      </c>
      <c r="L264" s="15">
        <f t="shared" si="45"/>
        <v>13087.5</v>
      </c>
      <c r="M264" s="14"/>
      <c r="N264" s="14"/>
    </row>
    <row r="265" ht="14.25">
      <c r="A265" s="14">
        <v>263</v>
      </c>
      <c r="B265" s="14" t="str">
        <f t="shared" si="39"/>
        <v>Empl_263</v>
      </c>
      <c r="C265" s="14" t="s">
        <v>11</v>
      </c>
      <c r="D265" s="14">
        <v>36000</v>
      </c>
      <c r="E265" s="14">
        <f t="shared" ca="1" si="46"/>
        <v>30</v>
      </c>
      <c r="F265" s="14">
        <v>25</v>
      </c>
      <c r="G265" s="14">
        <f t="shared" si="40"/>
        <v>5</v>
      </c>
      <c r="H265" s="15">
        <f t="shared" si="41"/>
        <v>1440</v>
      </c>
      <c r="I265" s="15">
        <f t="shared" si="42"/>
        <v>36000</v>
      </c>
      <c r="J265" s="14">
        <f t="shared" si="43"/>
        <v>4320</v>
      </c>
      <c r="K265" s="15">
        <f t="shared" si="44"/>
        <v>270</v>
      </c>
      <c r="L265" s="15">
        <f t="shared" si="45"/>
        <v>31410</v>
      </c>
      <c r="M265" s="14"/>
      <c r="N265" s="14"/>
    </row>
    <row r="266" ht="14.25">
      <c r="A266" s="14">
        <v>264</v>
      </c>
      <c r="B266" s="14" t="str">
        <f t="shared" si="39"/>
        <v>Empl_264</v>
      </c>
      <c r="C266" s="14" t="s">
        <v>8</v>
      </c>
      <c r="D266" s="14">
        <v>49000</v>
      </c>
      <c r="E266" s="14">
        <f t="shared" ca="1" si="46"/>
        <v>30</v>
      </c>
      <c r="F266" s="14">
        <v>24</v>
      </c>
      <c r="G266" s="14">
        <f t="shared" si="40"/>
        <v>6</v>
      </c>
      <c r="H266" s="15">
        <f t="shared" si="41"/>
        <v>2041.6666666666667</v>
      </c>
      <c r="I266" s="15">
        <f t="shared" si="42"/>
        <v>49000</v>
      </c>
      <c r="J266" s="14">
        <f t="shared" si="43"/>
        <v>5880</v>
      </c>
      <c r="K266" s="15">
        <f t="shared" si="44"/>
        <v>367.5</v>
      </c>
      <c r="L266" s="15">
        <f t="shared" si="45"/>
        <v>42752.5</v>
      </c>
      <c r="M266" s="14"/>
      <c r="N266" s="14"/>
    </row>
    <row r="267" ht="14.25">
      <c r="A267" s="14">
        <v>265</v>
      </c>
      <c r="B267" s="14" t="str">
        <f t="shared" si="39"/>
        <v>Empl_265</v>
      </c>
      <c r="C267" s="14" t="s">
        <v>12</v>
      </c>
      <c r="D267" s="14">
        <v>42000</v>
      </c>
      <c r="E267" s="14">
        <f t="shared" ca="1" si="46"/>
        <v>30</v>
      </c>
      <c r="F267" s="14">
        <v>21</v>
      </c>
      <c r="G267" s="14">
        <f t="shared" si="40"/>
        <v>9</v>
      </c>
      <c r="H267" s="15">
        <f t="shared" si="41"/>
        <v>2000</v>
      </c>
      <c r="I267" s="15">
        <f t="shared" si="42"/>
        <v>42000</v>
      </c>
      <c r="J267" s="14">
        <f t="shared" si="43"/>
        <v>5040</v>
      </c>
      <c r="K267" s="15">
        <f t="shared" si="44"/>
        <v>315</v>
      </c>
      <c r="L267" s="15">
        <f t="shared" si="45"/>
        <v>36645</v>
      </c>
      <c r="M267" s="14"/>
      <c r="N267" s="14"/>
    </row>
    <row r="268" ht="14.25">
      <c r="A268" s="14">
        <v>266</v>
      </c>
      <c r="B268" s="14" t="str">
        <f t="shared" si="39"/>
        <v>Empl_266</v>
      </c>
      <c r="C268" s="14" t="s">
        <v>10</v>
      </c>
      <c r="D268" s="14">
        <v>32000</v>
      </c>
      <c r="E268" s="14">
        <f t="shared" ca="1" si="46"/>
        <v>30</v>
      </c>
      <c r="F268" s="14">
        <v>27</v>
      </c>
      <c r="G268" s="14">
        <f t="shared" si="40"/>
        <v>3</v>
      </c>
      <c r="H268" s="15">
        <f t="shared" si="41"/>
        <v>1185.1851851851852</v>
      </c>
      <c r="I268" s="15">
        <f t="shared" si="42"/>
        <v>32000</v>
      </c>
      <c r="J268" s="14">
        <f t="shared" si="43"/>
        <v>3840</v>
      </c>
      <c r="K268" s="15">
        <f t="shared" si="44"/>
        <v>240</v>
      </c>
      <c r="L268" s="15">
        <f t="shared" si="45"/>
        <v>27920</v>
      </c>
      <c r="M268" s="14"/>
      <c r="N268" s="14"/>
    </row>
    <row r="269" ht="14.25">
      <c r="A269" s="14">
        <v>267</v>
      </c>
      <c r="B269" s="14" t="str">
        <f t="shared" si="39"/>
        <v>Empl_267</v>
      </c>
      <c r="C269" s="14" t="s">
        <v>13</v>
      </c>
      <c r="D269" s="14">
        <v>55000</v>
      </c>
      <c r="E269" s="14">
        <f t="shared" ca="1" si="46"/>
        <v>30</v>
      </c>
      <c r="F269" s="14">
        <v>20</v>
      </c>
      <c r="G269" s="14">
        <f t="shared" si="40"/>
        <v>10</v>
      </c>
      <c r="H269" s="15">
        <f t="shared" si="41"/>
        <v>2750</v>
      </c>
      <c r="I269" s="15">
        <f t="shared" si="42"/>
        <v>55000</v>
      </c>
      <c r="J269" s="14">
        <f t="shared" si="43"/>
        <v>6600</v>
      </c>
      <c r="K269" s="15">
        <f t="shared" si="44"/>
        <v>412.5</v>
      </c>
      <c r="L269" s="15">
        <f t="shared" si="45"/>
        <v>47987.5</v>
      </c>
      <c r="M269" s="14"/>
      <c r="N269" s="14"/>
    </row>
    <row r="270" ht="14.25">
      <c r="A270" s="14">
        <v>268</v>
      </c>
      <c r="B270" s="14" t="str">
        <f t="shared" si="39"/>
        <v>Empl_268</v>
      </c>
      <c r="C270" s="14" t="s">
        <v>9</v>
      </c>
      <c r="D270" s="14">
        <v>58000</v>
      </c>
      <c r="E270" s="14">
        <f t="shared" ca="1" si="46"/>
        <v>30</v>
      </c>
      <c r="F270" s="14">
        <v>24</v>
      </c>
      <c r="G270" s="14">
        <f t="shared" si="40"/>
        <v>6</v>
      </c>
      <c r="H270" s="15">
        <f t="shared" si="41"/>
        <v>2416.6666666666665</v>
      </c>
      <c r="I270" s="15">
        <f t="shared" si="42"/>
        <v>58000</v>
      </c>
      <c r="J270" s="14">
        <f t="shared" si="43"/>
        <v>6960</v>
      </c>
      <c r="K270" s="15">
        <f t="shared" si="44"/>
        <v>435</v>
      </c>
      <c r="L270" s="15">
        <f t="shared" si="45"/>
        <v>50605</v>
      </c>
      <c r="M270" s="14"/>
      <c r="N270" s="14"/>
    </row>
    <row r="271" ht="14.25">
      <c r="A271" s="14">
        <v>269</v>
      </c>
      <c r="B271" s="14" t="str">
        <f t="shared" si="39"/>
        <v>Empl_269</v>
      </c>
      <c r="C271" s="14" t="s">
        <v>11</v>
      </c>
      <c r="D271" s="14">
        <v>18000</v>
      </c>
      <c r="E271" s="14">
        <f t="shared" ca="1" si="46"/>
        <v>30</v>
      </c>
      <c r="F271" s="14">
        <v>27</v>
      </c>
      <c r="G271" s="14">
        <f t="shared" si="40"/>
        <v>3</v>
      </c>
      <c r="H271" s="15">
        <f t="shared" si="41"/>
        <v>666.66666666666663</v>
      </c>
      <c r="I271" s="15">
        <f t="shared" si="42"/>
        <v>18000</v>
      </c>
      <c r="J271" s="14">
        <f t="shared" si="43"/>
        <v>2160</v>
      </c>
      <c r="K271" s="15">
        <f t="shared" si="44"/>
        <v>135</v>
      </c>
      <c r="L271" s="15">
        <f t="shared" si="45"/>
        <v>15705</v>
      </c>
      <c r="M271" s="14"/>
      <c r="N271" s="14"/>
    </row>
    <row r="272" ht="14.25">
      <c r="A272" s="14">
        <v>270</v>
      </c>
      <c r="B272" s="14" t="str">
        <f t="shared" si="39"/>
        <v>Empl_270</v>
      </c>
      <c r="C272" s="14" t="s">
        <v>8</v>
      </c>
      <c r="D272" s="14">
        <v>48000</v>
      </c>
      <c r="E272" s="14">
        <f t="shared" ca="1" si="46"/>
        <v>30</v>
      </c>
      <c r="F272" s="14">
        <v>25</v>
      </c>
      <c r="G272" s="14">
        <f t="shared" si="40"/>
        <v>5</v>
      </c>
      <c r="H272" s="15">
        <f t="shared" si="41"/>
        <v>1920</v>
      </c>
      <c r="I272" s="15">
        <f t="shared" si="42"/>
        <v>48000</v>
      </c>
      <c r="J272" s="14">
        <f t="shared" si="43"/>
        <v>5760</v>
      </c>
      <c r="K272" s="15">
        <f t="shared" si="44"/>
        <v>360</v>
      </c>
      <c r="L272" s="15">
        <f t="shared" si="45"/>
        <v>41880</v>
      </c>
      <c r="M272" s="14"/>
      <c r="N272" s="14"/>
    </row>
    <row r="273" ht="14.25">
      <c r="A273" s="14">
        <v>271</v>
      </c>
      <c r="B273" s="14" t="str">
        <f t="shared" si="39"/>
        <v>Empl_271</v>
      </c>
      <c r="C273" s="14" t="s">
        <v>12</v>
      </c>
      <c r="D273" s="14">
        <v>25000</v>
      </c>
      <c r="E273" s="14">
        <f t="shared" ca="1" si="46"/>
        <v>30</v>
      </c>
      <c r="F273" s="14">
        <v>25</v>
      </c>
      <c r="G273" s="14">
        <f t="shared" si="40"/>
        <v>5</v>
      </c>
      <c r="H273" s="15">
        <f t="shared" si="41"/>
        <v>1000</v>
      </c>
      <c r="I273" s="15">
        <f t="shared" si="42"/>
        <v>25000</v>
      </c>
      <c r="J273" s="14">
        <f t="shared" si="43"/>
        <v>3000</v>
      </c>
      <c r="K273" s="15">
        <f t="shared" si="44"/>
        <v>187.5</v>
      </c>
      <c r="L273" s="15">
        <f t="shared" si="45"/>
        <v>21812.5</v>
      </c>
      <c r="M273" s="14"/>
      <c r="N273" s="14"/>
    </row>
    <row r="274" ht="14.25">
      <c r="A274" s="14">
        <v>272</v>
      </c>
      <c r="B274" s="14" t="str">
        <f t="shared" si="39"/>
        <v>Empl_272</v>
      </c>
      <c r="C274" s="14" t="s">
        <v>10</v>
      </c>
      <c r="D274" s="14">
        <v>17000</v>
      </c>
      <c r="E274" s="14">
        <f t="shared" ca="1" si="46"/>
        <v>30</v>
      </c>
      <c r="F274" s="14">
        <v>22</v>
      </c>
      <c r="G274" s="14">
        <f t="shared" si="40"/>
        <v>8</v>
      </c>
      <c r="H274" s="15">
        <f t="shared" si="41"/>
        <v>772.72727272727275</v>
      </c>
      <c r="I274" s="15">
        <f t="shared" si="42"/>
        <v>17000</v>
      </c>
      <c r="J274" s="14">
        <f t="shared" si="43"/>
        <v>2040</v>
      </c>
      <c r="K274" s="15">
        <f t="shared" si="44"/>
        <v>127.5</v>
      </c>
      <c r="L274" s="15">
        <f t="shared" si="45"/>
        <v>14832.5</v>
      </c>
      <c r="M274" s="14"/>
      <c r="N274" s="14"/>
    </row>
    <row r="275" ht="14.25">
      <c r="A275" s="14">
        <v>273</v>
      </c>
      <c r="B275" s="14" t="str">
        <f t="shared" si="39"/>
        <v>Empl_273</v>
      </c>
      <c r="C275" s="14" t="s">
        <v>13</v>
      </c>
      <c r="D275" s="14">
        <v>44000</v>
      </c>
      <c r="E275" s="14">
        <f t="shared" ca="1" si="46"/>
        <v>30</v>
      </c>
      <c r="F275" s="14">
        <v>29</v>
      </c>
      <c r="G275" s="14">
        <f t="shared" si="40"/>
        <v>1</v>
      </c>
      <c r="H275" s="15">
        <f t="shared" si="41"/>
        <v>1517.2413793103449</v>
      </c>
      <c r="I275" s="15">
        <f t="shared" si="42"/>
        <v>44000</v>
      </c>
      <c r="J275" s="14">
        <f t="shared" si="43"/>
        <v>5280</v>
      </c>
      <c r="K275" s="15">
        <f t="shared" si="44"/>
        <v>330</v>
      </c>
      <c r="L275" s="15">
        <f t="shared" si="45"/>
        <v>38390</v>
      </c>
      <c r="M275" s="14"/>
      <c r="N275" s="14"/>
    </row>
    <row r="276" ht="14.25">
      <c r="A276" s="14">
        <v>274</v>
      </c>
      <c r="B276" s="14" t="str">
        <f t="shared" si="39"/>
        <v>Empl_274</v>
      </c>
      <c r="C276" s="14" t="s">
        <v>9</v>
      </c>
      <c r="D276" s="14">
        <v>50000</v>
      </c>
      <c r="E276" s="14">
        <f t="shared" ca="1" si="46"/>
        <v>30</v>
      </c>
      <c r="F276" s="14">
        <v>25</v>
      </c>
      <c r="G276" s="14">
        <f t="shared" si="40"/>
        <v>5</v>
      </c>
      <c r="H276" s="15">
        <f t="shared" si="41"/>
        <v>2000</v>
      </c>
      <c r="I276" s="15">
        <f t="shared" si="42"/>
        <v>50000</v>
      </c>
      <c r="J276" s="14">
        <f t="shared" si="43"/>
        <v>6000</v>
      </c>
      <c r="K276" s="15">
        <f t="shared" si="44"/>
        <v>375</v>
      </c>
      <c r="L276" s="15">
        <f t="shared" si="45"/>
        <v>43625</v>
      </c>
      <c r="M276" s="14"/>
      <c r="N276" s="14"/>
    </row>
    <row r="277" ht="14.25">
      <c r="A277" s="14">
        <v>275</v>
      </c>
      <c r="B277" s="14" t="str">
        <f t="shared" si="39"/>
        <v>Empl_275</v>
      </c>
      <c r="C277" s="14" t="s">
        <v>11</v>
      </c>
      <c r="D277" s="14">
        <v>26000</v>
      </c>
      <c r="E277" s="14">
        <f t="shared" ca="1" si="46"/>
        <v>30</v>
      </c>
      <c r="F277" s="14">
        <v>22</v>
      </c>
      <c r="G277" s="14">
        <f t="shared" si="40"/>
        <v>8</v>
      </c>
      <c r="H277" s="15">
        <f t="shared" si="41"/>
        <v>1181.8181818181818</v>
      </c>
      <c r="I277" s="15">
        <f t="shared" si="42"/>
        <v>26000</v>
      </c>
      <c r="J277" s="14">
        <f t="shared" si="43"/>
        <v>3120</v>
      </c>
      <c r="K277" s="15">
        <f t="shared" si="44"/>
        <v>195</v>
      </c>
      <c r="L277" s="15">
        <f t="shared" si="45"/>
        <v>22685</v>
      </c>
      <c r="M277" s="14"/>
      <c r="N277" s="14"/>
    </row>
    <row r="278" ht="14.25">
      <c r="A278" s="14">
        <v>276</v>
      </c>
      <c r="B278" s="14" t="str">
        <f t="shared" si="39"/>
        <v>Empl_276</v>
      </c>
      <c r="C278" s="14" t="s">
        <v>8</v>
      </c>
      <c r="D278" s="14">
        <v>47000</v>
      </c>
      <c r="E278" s="14">
        <f t="shared" ca="1" si="46"/>
        <v>30</v>
      </c>
      <c r="F278" s="14">
        <v>30</v>
      </c>
      <c r="G278" s="14">
        <f t="shared" si="40"/>
        <v>0</v>
      </c>
      <c r="H278" s="15">
        <f t="shared" si="41"/>
        <v>1566.6666666666667</v>
      </c>
      <c r="I278" s="15">
        <f t="shared" si="42"/>
        <v>47000</v>
      </c>
      <c r="J278" s="14">
        <f t="shared" si="43"/>
        <v>5640</v>
      </c>
      <c r="K278" s="15">
        <f t="shared" si="44"/>
        <v>352.5</v>
      </c>
      <c r="L278" s="15">
        <f t="shared" si="45"/>
        <v>41007.5</v>
      </c>
      <c r="M278" s="14"/>
      <c r="N278" s="14"/>
    </row>
    <row r="279" ht="14.25">
      <c r="A279" s="14">
        <v>277</v>
      </c>
      <c r="B279" s="14" t="str">
        <f t="shared" si="39"/>
        <v>Empl_277</v>
      </c>
      <c r="C279" s="14" t="s">
        <v>12</v>
      </c>
      <c r="D279" s="14">
        <v>37000</v>
      </c>
      <c r="E279" s="14">
        <f t="shared" ca="1" si="46"/>
        <v>30</v>
      </c>
      <c r="F279" s="14">
        <v>20</v>
      </c>
      <c r="G279" s="14">
        <f t="shared" si="40"/>
        <v>10</v>
      </c>
      <c r="H279" s="15">
        <f t="shared" si="41"/>
        <v>1850</v>
      </c>
      <c r="I279" s="15">
        <f t="shared" si="42"/>
        <v>37000</v>
      </c>
      <c r="J279" s="14">
        <f t="shared" si="43"/>
        <v>4440</v>
      </c>
      <c r="K279" s="15">
        <f t="shared" si="44"/>
        <v>277.5</v>
      </c>
      <c r="L279" s="15">
        <f t="shared" si="45"/>
        <v>32282.5</v>
      </c>
      <c r="M279" s="14"/>
      <c r="N279" s="14"/>
    </row>
    <row r="280" ht="14.25">
      <c r="A280" s="14">
        <v>278</v>
      </c>
      <c r="B280" s="14" t="str">
        <f t="shared" si="39"/>
        <v>Empl_278</v>
      </c>
      <c r="C280" s="14" t="s">
        <v>10</v>
      </c>
      <c r="D280" s="14">
        <v>54000</v>
      </c>
      <c r="E280" s="14">
        <f t="shared" ca="1" si="46"/>
        <v>30</v>
      </c>
      <c r="F280" s="14">
        <v>28</v>
      </c>
      <c r="G280" s="14">
        <f t="shared" si="40"/>
        <v>2</v>
      </c>
      <c r="H280" s="15">
        <f t="shared" si="41"/>
        <v>1928.5714285714287</v>
      </c>
      <c r="I280" s="15">
        <f t="shared" si="42"/>
        <v>54000</v>
      </c>
      <c r="J280" s="14">
        <f t="shared" si="43"/>
        <v>6480</v>
      </c>
      <c r="K280" s="15">
        <f t="shared" si="44"/>
        <v>405</v>
      </c>
      <c r="L280" s="15">
        <f t="shared" si="45"/>
        <v>47115</v>
      </c>
      <c r="M280" s="14"/>
      <c r="N280" s="14"/>
    </row>
    <row r="281" ht="14.25">
      <c r="A281" s="14">
        <v>279</v>
      </c>
      <c r="B281" s="14" t="str">
        <f t="shared" si="39"/>
        <v>Empl_279</v>
      </c>
      <c r="C281" s="14" t="s">
        <v>13</v>
      </c>
      <c r="D281" s="14">
        <v>18000</v>
      </c>
      <c r="E281" s="14">
        <f t="shared" ca="1" si="46"/>
        <v>30</v>
      </c>
      <c r="F281" s="14">
        <v>22</v>
      </c>
      <c r="G281" s="14">
        <f t="shared" si="40"/>
        <v>8</v>
      </c>
      <c r="H281" s="15">
        <f t="shared" si="41"/>
        <v>818.18181818181813</v>
      </c>
      <c r="I281" s="15">
        <f t="shared" si="42"/>
        <v>18000</v>
      </c>
      <c r="J281" s="14">
        <f t="shared" si="43"/>
        <v>2160</v>
      </c>
      <c r="K281" s="15">
        <f t="shared" si="44"/>
        <v>135</v>
      </c>
      <c r="L281" s="15">
        <f t="shared" si="45"/>
        <v>15705</v>
      </c>
      <c r="M281" s="14"/>
      <c r="N281" s="14"/>
    </row>
    <row r="282" ht="14.25">
      <c r="A282" s="14">
        <v>280</v>
      </c>
      <c r="B282" s="14" t="str">
        <f t="shared" si="39"/>
        <v>Empl_280</v>
      </c>
      <c r="C282" s="14" t="s">
        <v>9</v>
      </c>
      <c r="D282" s="14">
        <v>24000</v>
      </c>
      <c r="E282" s="14">
        <f t="shared" ca="1" si="46"/>
        <v>30</v>
      </c>
      <c r="F282" s="14">
        <v>20</v>
      </c>
      <c r="G282" s="14">
        <f t="shared" si="40"/>
        <v>10</v>
      </c>
      <c r="H282" s="15">
        <f t="shared" si="41"/>
        <v>1200</v>
      </c>
      <c r="I282" s="15">
        <f t="shared" si="42"/>
        <v>24000</v>
      </c>
      <c r="J282" s="14">
        <f t="shared" si="43"/>
        <v>2880</v>
      </c>
      <c r="K282" s="15">
        <f t="shared" si="44"/>
        <v>180</v>
      </c>
      <c r="L282" s="15">
        <f t="shared" si="45"/>
        <v>20940</v>
      </c>
      <c r="M282" s="14"/>
      <c r="N282" s="14"/>
    </row>
    <row r="283" ht="14.25">
      <c r="A283" s="14">
        <v>281</v>
      </c>
      <c r="B283" s="14" t="str">
        <f t="shared" si="39"/>
        <v>Empl_281</v>
      </c>
      <c r="C283" s="14" t="s">
        <v>11</v>
      </c>
      <c r="D283" s="14">
        <v>43000</v>
      </c>
      <c r="E283" s="14">
        <f t="shared" ca="1" si="46"/>
        <v>30</v>
      </c>
      <c r="F283" s="14">
        <v>24</v>
      </c>
      <c r="G283" s="14">
        <f t="shared" si="40"/>
        <v>6</v>
      </c>
      <c r="H283" s="15">
        <f t="shared" si="41"/>
        <v>1791.6666666666667</v>
      </c>
      <c r="I283" s="15">
        <f t="shared" si="42"/>
        <v>43000</v>
      </c>
      <c r="J283" s="14">
        <f t="shared" si="43"/>
        <v>5160</v>
      </c>
      <c r="K283" s="15">
        <f t="shared" si="44"/>
        <v>322.5</v>
      </c>
      <c r="L283" s="15">
        <f t="shared" si="45"/>
        <v>37517.5</v>
      </c>
      <c r="M283" s="14"/>
      <c r="N283" s="14"/>
    </row>
    <row r="284" ht="14.25">
      <c r="A284" s="14">
        <v>282</v>
      </c>
      <c r="B284" s="14" t="str">
        <f t="shared" si="39"/>
        <v>Empl_282</v>
      </c>
      <c r="C284" s="14" t="s">
        <v>8</v>
      </c>
      <c r="D284" s="14">
        <v>33000</v>
      </c>
      <c r="E284" s="14">
        <f t="shared" ca="1" si="46"/>
        <v>30</v>
      </c>
      <c r="F284" s="14">
        <v>20</v>
      </c>
      <c r="G284" s="14">
        <f t="shared" si="40"/>
        <v>10</v>
      </c>
      <c r="H284" s="15">
        <f t="shared" si="41"/>
        <v>1650</v>
      </c>
      <c r="I284" s="15">
        <f t="shared" si="42"/>
        <v>33000</v>
      </c>
      <c r="J284" s="14">
        <f t="shared" si="43"/>
        <v>3960</v>
      </c>
      <c r="K284" s="15">
        <f t="shared" si="44"/>
        <v>247.5</v>
      </c>
      <c r="L284" s="15">
        <f t="shared" si="45"/>
        <v>28792.5</v>
      </c>
      <c r="M284" s="14"/>
      <c r="N284" s="14"/>
    </row>
    <row r="285" ht="14.25">
      <c r="A285" s="14">
        <v>283</v>
      </c>
      <c r="B285" s="14" t="str">
        <f t="shared" si="39"/>
        <v>Empl_283</v>
      </c>
      <c r="C285" s="14" t="s">
        <v>12</v>
      </c>
      <c r="D285" s="14">
        <v>45000</v>
      </c>
      <c r="E285" s="14">
        <f t="shared" ca="1" si="46"/>
        <v>30</v>
      </c>
      <c r="F285" s="14">
        <v>29</v>
      </c>
      <c r="G285" s="14">
        <f t="shared" si="40"/>
        <v>1</v>
      </c>
      <c r="H285" s="15">
        <f t="shared" si="41"/>
        <v>1551.7241379310344</v>
      </c>
      <c r="I285" s="15">
        <f t="shared" si="42"/>
        <v>45000</v>
      </c>
      <c r="J285" s="14">
        <f t="shared" si="43"/>
        <v>5400</v>
      </c>
      <c r="K285" s="15">
        <f t="shared" si="44"/>
        <v>337.5</v>
      </c>
      <c r="L285" s="15">
        <f t="shared" si="45"/>
        <v>39262.5</v>
      </c>
      <c r="M285" s="14"/>
      <c r="N285" s="14"/>
    </row>
    <row r="286" ht="14.25">
      <c r="A286" s="14">
        <v>284</v>
      </c>
      <c r="B286" s="14" t="str">
        <f t="shared" si="39"/>
        <v>Empl_284</v>
      </c>
      <c r="C286" s="14" t="s">
        <v>10</v>
      </c>
      <c r="D286" s="14">
        <v>51000</v>
      </c>
      <c r="E286" s="14">
        <f t="shared" ca="1" si="46"/>
        <v>30</v>
      </c>
      <c r="F286" s="14">
        <v>27</v>
      </c>
      <c r="G286" s="14">
        <f t="shared" si="40"/>
        <v>3</v>
      </c>
      <c r="H286" s="15">
        <f t="shared" si="41"/>
        <v>1888.8888888888889</v>
      </c>
      <c r="I286" s="15">
        <f t="shared" si="42"/>
        <v>51000</v>
      </c>
      <c r="J286" s="14">
        <f t="shared" si="43"/>
        <v>6120</v>
      </c>
      <c r="K286" s="15">
        <f t="shared" si="44"/>
        <v>382.5</v>
      </c>
      <c r="L286" s="15">
        <f t="shared" si="45"/>
        <v>44497.5</v>
      </c>
      <c r="M286" s="14"/>
      <c r="N286" s="14"/>
    </row>
    <row r="287" ht="14.25">
      <c r="A287" s="14">
        <v>285</v>
      </c>
      <c r="B287" s="14" t="str">
        <f t="shared" si="39"/>
        <v>Empl_285</v>
      </c>
      <c r="C287" s="14" t="s">
        <v>13</v>
      </c>
      <c r="D287" s="14">
        <v>60000</v>
      </c>
      <c r="E287" s="14">
        <f t="shared" ca="1" si="46"/>
        <v>30</v>
      </c>
      <c r="F287" s="14">
        <v>30</v>
      </c>
      <c r="G287" s="14">
        <f t="shared" si="40"/>
        <v>0</v>
      </c>
      <c r="H287" s="15">
        <f t="shared" si="41"/>
        <v>2000</v>
      </c>
      <c r="I287" s="15">
        <f t="shared" si="42"/>
        <v>60000</v>
      </c>
      <c r="J287" s="14">
        <f t="shared" si="43"/>
        <v>7200</v>
      </c>
      <c r="K287" s="15">
        <f t="shared" si="44"/>
        <v>450</v>
      </c>
      <c r="L287" s="15">
        <f t="shared" si="45"/>
        <v>52350</v>
      </c>
      <c r="M287" s="14"/>
      <c r="N287" s="14"/>
    </row>
    <row r="288" ht="14.25">
      <c r="A288" s="14">
        <v>286</v>
      </c>
      <c r="B288" s="14" t="str">
        <f t="shared" si="39"/>
        <v>Empl_286</v>
      </c>
      <c r="C288" s="14" t="s">
        <v>9</v>
      </c>
      <c r="D288" s="14">
        <v>42000</v>
      </c>
      <c r="E288" s="14">
        <f t="shared" ca="1" si="46"/>
        <v>30</v>
      </c>
      <c r="F288" s="14">
        <v>27</v>
      </c>
      <c r="G288" s="14">
        <f t="shared" si="40"/>
        <v>3</v>
      </c>
      <c r="H288" s="15">
        <f t="shared" si="41"/>
        <v>1555.5555555555557</v>
      </c>
      <c r="I288" s="15">
        <f t="shared" si="42"/>
        <v>42000</v>
      </c>
      <c r="J288" s="14">
        <f t="shared" si="43"/>
        <v>5040</v>
      </c>
      <c r="K288" s="15">
        <f t="shared" si="44"/>
        <v>315</v>
      </c>
      <c r="L288" s="15">
        <f t="shared" si="45"/>
        <v>36645</v>
      </c>
      <c r="M288" s="14"/>
      <c r="N288" s="14"/>
    </row>
    <row r="289" ht="14.25">
      <c r="A289" s="14">
        <v>287</v>
      </c>
      <c r="B289" s="14" t="str">
        <f t="shared" si="39"/>
        <v>Empl_287</v>
      </c>
      <c r="C289" s="14" t="s">
        <v>11</v>
      </c>
      <c r="D289" s="14">
        <v>32000</v>
      </c>
      <c r="E289" s="14">
        <f t="shared" ca="1" si="46"/>
        <v>30</v>
      </c>
      <c r="F289" s="14">
        <v>27</v>
      </c>
      <c r="G289" s="14">
        <f t="shared" si="40"/>
        <v>3</v>
      </c>
      <c r="H289" s="15">
        <f t="shared" si="41"/>
        <v>1185.1851851851852</v>
      </c>
      <c r="I289" s="15">
        <f t="shared" si="42"/>
        <v>32000</v>
      </c>
      <c r="J289" s="14">
        <f t="shared" si="43"/>
        <v>3840</v>
      </c>
      <c r="K289" s="15">
        <f t="shared" si="44"/>
        <v>240</v>
      </c>
      <c r="L289" s="15">
        <f t="shared" si="45"/>
        <v>27920</v>
      </c>
      <c r="M289" s="14"/>
      <c r="N289" s="14"/>
    </row>
    <row r="290" ht="14.25">
      <c r="A290" s="14">
        <v>288</v>
      </c>
      <c r="B290" s="14" t="str">
        <f t="shared" si="39"/>
        <v>Empl_288</v>
      </c>
      <c r="C290" s="14" t="s">
        <v>8</v>
      </c>
      <c r="D290" s="14">
        <v>33000</v>
      </c>
      <c r="E290" s="14">
        <f t="shared" ca="1" si="46"/>
        <v>30</v>
      </c>
      <c r="F290" s="14">
        <v>24</v>
      </c>
      <c r="G290" s="14">
        <f t="shared" si="40"/>
        <v>6</v>
      </c>
      <c r="H290" s="15">
        <f t="shared" si="41"/>
        <v>1375</v>
      </c>
      <c r="I290" s="15">
        <f t="shared" si="42"/>
        <v>33000</v>
      </c>
      <c r="J290" s="14">
        <f t="shared" si="43"/>
        <v>3960</v>
      </c>
      <c r="K290" s="15">
        <f t="shared" si="44"/>
        <v>247.5</v>
      </c>
      <c r="L290" s="15">
        <f t="shared" si="45"/>
        <v>28792.5</v>
      </c>
      <c r="M290" s="14"/>
      <c r="N290" s="14"/>
    </row>
    <row r="291" ht="14.25">
      <c r="A291" s="14">
        <v>289</v>
      </c>
      <c r="B291" s="14" t="str">
        <f t="shared" si="39"/>
        <v>Empl_289</v>
      </c>
      <c r="C291" s="14" t="s">
        <v>12</v>
      </c>
      <c r="D291" s="14">
        <v>16000</v>
      </c>
      <c r="E291" s="14">
        <f t="shared" ca="1" si="46"/>
        <v>30</v>
      </c>
      <c r="F291" s="14">
        <v>28</v>
      </c>
      <c r="G291" s="14">
        <f t="shared" si="40"/>
        <v>2</v>
      </c>
      <c r="H291" s="15">
        <f t="shared" si="41"/>
        <v>571.42857142857144</v>
      </c>
      <c r="I291" s="15">
        <f t="shared" si="42"/>
        <v>16000</v>
      </c>
      <c r="J291" s="14">
        <f t="shared" si="43"/>
        <v>1920</v>
      </c>
      <c r="K291" s="15">
        <f t="shared" si="44"/>
        <v>120</v>
      </c>
      <c r="L291" s="15">
        <f t="shared" si="45"/>
        <v>13960</v>
      </c>
      <c r="M291" s="14"/>
      <c r="N291" s="14"/>
    </row>
    <row r="292" ht="14.25">
      <c r="A292" s="14">
        <v>290</v>
      </c>
      <c r="B292" s="14" t="str">
        <f t="shared" ref="B292:B355" si="47">"Empl_"&amp;A292</f>
        <v>Empl_290</v>
      </c>
      <c r="C292" s="14" t="s">
        <v>10</v>
      </c>
      <c r="D292" s="14">
        <v>32000</v>
      </c>
      <c r="E292" s="14">
        <f t="shared" ca="1" si="46"/>
        <v>30</v>
      </c>
      <c r="F292" s="14">
        <v>23</v>
      </c>
      <c r="G292" s="14">
        <f t="shared" ref="G292:G355" si="48">E292-F292</f>
        <v>7</v>
      </c>
      <c r="H292" s="15">
        <f t="shared" ref="H292:H355" si="49">D292/F292</f>
        <v>1391.304347826087</v>
      </c>
      <c r="I292" s="15">
        <f t="shared" ref="I292:I355" si="50">H292*F292</f>
        <v>32000</v>
      </c>
      <c r="J292" s="14">
        <f t="shared" ref="J292:J355" si="51">I292*12%</f>
        <v>3840</v>
      </c>
      <c r="K292" s="15">
        <f t="shared" ref="K292:K355" si="52">I292*0.75%</f>
        <v>240</v>
      </c>
      <c r="L292" s="15">
        <f t="shared" ref="L292:L355" si="53">I292-(J292+K292)</f>
        <v>27920</v>
      </c>
      <c r="M292" s="14"/>
      <c r="N292" s="14"/>
    </row>
    <row r="293" ht="14.25">
      <c r="A293" s="14">
        <v>291</v>
      </c>
      <c r="B293" s="14" t="str">
        <f t="shared" si="47"/>
        <v>Empl_291</v>
      </c>
      <c r="C293" s="14" t="s">
        <v>13</v>
      </c>
      <c r="D293" s="14">
        <v>35000</v>
      </c>
      <c r="E293" s="14">
        <f t="shared" ca="1" si="46"/>
        <v>30</v>
      </c>
      <c r="F293" s="14">
        <v>25</v>
      </c>
      <c r="G293" s="14">
        <f t="shared" si="48"/>
        <v>5</v>
      </c>
      <c r="H293" s="15">
        <f t="shared" si="49"/>
        <v>1400</v>
      </c>
      <c r="I293" s="15">
        <f t="shared" si="50"/>
        <v>35000</v>
      </c>
      <c r="J293" s="14">
        <f t="shared" si="51"/>
        <v>4200</v>
      </c>
      <c r="K293" s="15">
        <f t="shared" si="52"/>
        <v>262.5</v>
      </c>
      <c r="L293" s="15">
        <f t="shared" si="53"/>
        <v>30537.5</v>
      </c>
      <c r="M293" s="14"/>
      <c r="N293" s="14"/>
    </row>
    <row r="294" ht="14.25">
      <c r="A294" s="14">
        <v>292</v>
      </c>
      <c r="B294" s="14" t="str">
        <f t="shared" si="47"/>
        <v>Empl_292</v>
      </c>
      <c r="C294" s="14" t="s">
        <v>9</v>
      </c>
      <c r="D294" s="14">
        <v>23000</v>
      </c>
      <c r="E294" s="14">
        <f t="shared" ca="1" si="46"/>
        <v>30</v>
      </c>
      <c r="F294" s="14">
        <v>27</v>
      </c>
      <c r="G294" s="14">
        <f t="shared" si="48"/>
        <v>3</v>
      </c>
      <c r="H294" s="15">
        <f t="shared" si="49"/>
        <v>851.85185185185185</v>
      </c>
      <c r="I294" s="15">
        <f t="shared" si="50"/>
        <v>23000</v>
      </c>
      <c r="J294" s="14">
        <f t="shared" si="51"/>
        <v>2760</v>
      </c>
      <c r="K294" s="15">
        <f t="shared" si="52"/>
        <v>172.5</v>
      </c>
      <c r="L294" s="15">
        <f t="shared" si="53"/>
        <v>20067.5</v>
      </c>
      <c r="M294" s="14"/>
      <c r="N294" s="14"/>
    </row>
    <row r="295" ht="14.25">
      <c r="A295" s="14">
        <v>293</v>
      </c>
      <c r="B295" s="14" t="str">
        <f t="shared" si="47"/>
        <v>Empl_293</v>
      </c>
      <c r="C295" s="14" t="s">
        <v>11</v>
      </c>
      <c r="D295" s="14">
        <v>49000</v>
      </c>
      <c r="E295" s="14">
        <f t="shared" ca="1" si="46"/>
        <v>30</v>
      </c>
      <c r="F295" s="14">
        <v>27</v>
      </c>
      <c r="G295" s="14">
        <f t="shared" si="48"/>
        <v>3</v>
      </c>
      <c r="H295" s="15">
        <f t="shared" si="49"/>
        <v>1814.8148148148148</v>
      </c>
      <c r="I295" s="15">
        <f t="shared" si="50"/>
        <v>49000</v>
      </c>
      <c r="J295" s="14">
        <f t="shared" si="51"/>
        <v>5880</v>
      </c>
      <c r="K295" s="15">
        <f t="shared" si="52"/>
        <v>367.5</v>
      </c>
      <c r="L295" s="15">
        <f t="shared" si="53"/>
        <v>42752.5</v>
      </c>
      <c r="M295" s="14"/>
      <c r="N295" s="14"/>
    </row>
    <row r="296" ht="14.25">
      <c r="A296" s="14">
        <v>294</v>
      </c>
      <c r="B296" s="14" t="str">
        <f t="shared" si="47"/>
        <v>Empl_294</v>
      </c>
      <c r="C296" s="14" t="s">
        <v>8</v>
      </c>
      <c r="D296" s="14">
        <v>24000</v>
      </c>
      <c r="E296" s="14">
        <f t="shared" ca="1" si="46"/>
        <v>30</v>
      </c>
      <c r="F296" s="14">
        <v>29</v>
      </c>
      <c r="G296" s="14">
        <f t="shared" si="48"/>
        <v>1</v>
      </c>
      <c r="H296" s="15">
        <f t="shared" si="49"/>
        <v>827.58620689655174</v>
      </c>
      <c r="I296" s="15">
        <f t="shared" si="50"/>
        <v>24000</v>
      </c>
      <c r="J296" s="14">
        <f t="shared" si="51"/>
        <v>2880</v>
      </c>
      <c r="K296" s="15">
        <f t="shared" si="52"/>
        <v>180</v>
      </c>
      <c r="L296" s="15">
        <f t="shared" si="53"/>
        <v>20940</v>
      </c>
      <c r="M296" s="14"/>
      <c r="N296" s="14"/>
    </row>
    <row r="297" ht="14.25">
      <c r="A297" s="14">
        <v>295</v>
      </c>
      <c r="B297" s="14" t="str">
        <f t="shared" si="47"/>
        <v>Empl_295</v>
      </c>
      <c r="C297" s="14" t="s">
        <v>12</v>
      </c>
      <c r="D297" s="14">
        <v>17000</v>
      </c>
      <c r="E297" s="14">
        <f t="shared" ca="1" si="46"/>
        <v>30</v>
      </c>
      <c r="F297" s="14">
        <v>22</v>
      </c>
      <c r="G297" s="14">
        <f t="shared" si="48"/>
        <v>8</v>
      </c>
      <c r="H297" s="15">
        <f t="shared" si="49"/>
        <v>772.72727272727275</v>
      </c>
      <c r="I297" s="15">
        <f t="shared" si="50"/>
        <v>17000</v>
      </c>
      <c r="J297" s="14">
        <f t="shared" si="51"/>
        <v>2040</v>
      </c>
      <c r="K297" s="15">
        <f t="shared" si="52"/>
        <v>127.5</v>
      </c>
      <c r="L297" s="15">
        <f t="shared" si="53"/>
        <v>14832.5</v>
      </c>
      <c r="M297" s="14"/>
      <c r="N297" s="14"/>
    </row>
    <row r="298" ht="14.25">
      <c r="A298" s="14">
        <v>296</v>
      </c>
      <c r="B298" s="14" t="str">
        <f t="shared" si="47"/>
        <v>Empl_296</v>
      </c>
      <c r="C298" s="14" t="s">
        <v>10</v>
      </c>
      <c r="D298" s="14">
        <v>17000</v>
      </c>
      <c r="E298" s="14">
        <f t="shared" ca="1" si="46"/>
        <v>30</v>
      </c>
      <c r="F298" s="14">
        <v>25</v>
      </c>
      <c r="G298" s="14">
        <f t="shared" si="48"/>
        <v>5</v>
      </c>
      <c r="H298" s="15">
        <f t="shared" si="49"/>
        <v>680</v>
      </c>
      <c r="I298" s="15">
        <f t="shared" si="50"/>
        <v>17000</v>
      </c>
      <c r="J298" s="14">
        <f t="shared" si="51"/>
        <v>2040</v>
      </c>
      <c r="K298" s="15">
        <f t="shared" si="52"/>
        <v>127.5</v>
      </c>
      <c r="L298" s="15">
        <f t="shared" si="53"/>
        <v>14832.5</v>
      </c>
      <c r="M298" s="14"/>
      <c r="N298" s="14"/>
    </row>
    <row r="299" ht="14.25">
      <c r="A299" s="14">
        <v>297</v>
      </c>
      <c r="B299" s="14" t="str">
        <f t="shared" si="47"/>
        <v>Empl_297</v>
      </c>
      <c r="C299" s="14" t="s">
        <v>13</v>
      </c>
      <c r="D299" s="14">
        <v>31000</v>
      </c>
      <c r="E299" s="14">
        <f t="shared" ca="1" si="46"/>
        <v>30</v>
      </c>
      <c r="F299" s="14">
        <v>29</v>
      </c>
      <c r="G299" s="14">
        <f t="shared" si="48"/>
        <v>1</v>
      </c>
      <c r="H299" s="15">
        <f t="shared" si="49"/>
        <v>1068.9655172413793</v>
      </c>
      <c r="I299" s="15">
        <f t="shared" si="50"/>
        <v>31000</v>
      </c>
      <c r="J299" s="14">
        <f t="shared" si="51"/>
        <v>3720</v>
      </c>
      <c r="K299" s="15">
        <f t="shared" si="52"/>
        <v>232.5</v>
      </c>
      <c r="L299" s="15">
        <f t="shared" si="53"/>
        <v>27047.5</v>
      </c>
      <c r="M299" s="14"/>
      <c r="N299" s="14"/>
    </row>
    <row r="300" ht="14.25">
      <c r="A300" s="14">
        <v>298</v>
      </c>
      <c r="B300" s="14" t="str">
        <f t="shared" si="47"/>
        <v>Empl_298</v>
      </c>
      <c r="C300" s="14" t="s">
        <v>9</v>
      </c>
      <c r="D300" s="14">
        <v>58000</v>
      </c>
      <c r="E300" s="14">
        <f t="shared" ca="1" si="46"/>
        <v>30</v>
      </c>
      <c r="F300" s="14">
        <v>24</v>
      </c>
      <c r="G300" s="14">
        <f t="shared" si="48"/>
        <v>6</v>
      </c>
      <c r="H300" s="15">
        <f t="shared" si="49"/>
        <v>2416.6666666666665</v>
      </c>
      <c r="I300" s="15">
        <f t="shared" si="50"/>
        <v>58000</v>
      </c>
      <c r="J300" s="14">
        <f t="shared" si="51"/>
        <v>6960</v>
      </c>
      <c r="K300" s="15">
        <f t="shared" si="52"/>
        <v>435</v>
      </c>
      <c r="L300" s="15">
        <f t="shared" si="53"/>
        <v>50605</v>
      </c>
      <c r="M300" s="14"/>
      <c r="N300" s="14"/>
    </row>
    <row r="301" ht="14.25">
      <c r="A301" s="14">
        <v>299</v>
      </c>
      <c r="B301" s="14" t="str">
        <f t="shared" si="47"/>
        <v>Empl_299</v>
      </c>
      <c r="C301" s="14" t="s">
        <v>11</v>
      </c>
      <c r="D301" s="14">
        <v>58000</v>
      </c>
      <c r="E301" s="14">
        <f t="shared" ca="1" si="46"/>
        <v>30</v>
      </c>
      <c r="F301" s="14">
        <v>29</v>
      </c>
      <c r="G301" s="14">
        <f t="shared" si="48"/>
        <v>1</v>
      </c>
      <c r="H301" s="15">
        <f t="shared" si="49"/>
        <v>2000</v>
      </c>
      <c r="I301" s="15">
        <f t="shared" si="50"/>
        <v>58000</v>
      </c>
      <c r="J301" s="14">
        <f t="shared" si="51"/>
        <v>6960</v>
      </c>
      <c r="K301" s="15">
        <f t="shared" si="52"/>
        <v>435</v>
      </c>
      <c r="L301" s="15">
        <f t="shared" si="53"/>
        <v>50605</v>
      </c>
      <c r="M301" s="14"/>
      <c r="N301" s="14"/>
    </row>
    <row r="302" ht="14.25">
      <c r="A302" s="14">
        <v>300</v>
      </c>
      <c r="B302" s="14" t="str">
        <f t="shared" si="47"/>
        <v>Empl_300</v>
      </c>
      <c r="C302" s="14" t="s">
        <v>8</v>
      </c>
      <c r="D302" s="14">
        <v>47000</v>
      </c>
      <c r="E302" s="14">
        <f t="shared" ca="1" si="46"/>
        <v>30</v>
      </c>
      <c r="F302" s="14">
        <v>21</v>
      </c>
      <c r="G302" s="14">
        <f t="shared" si="48"/>
        <v>9</v>
      </c>
      <c r="H302" s="15">
        <f t="shared" si="49"/>
        <v>2238.0952380952381</v>
      </c>
      <c r="I302" s="15">
        <f t="shared" si="50"/>
        <v>47000</v>
      </c>
      <c r="J302" s="14">
        <f t="shared" si="51"/>
        <v>5640</v>
      </c>
      <c r="K302" s="15">
        <f t="shared" si="52"/>
        <v>352.5</v>
      </c>
      <c r="L302" s="15">
        <f t="shared" si="53"/>
        <v>41007.5</v>
      </c>
      <c r="M302" s="14"/>
      <c r="N302" s="14"/>
    </row>
    <row r="303" ht="14.25">
      <c r="A303" s="14">
        <v>301</v>
      </c>
      <c r="B303" s="14" t="str">
        <f t="shared" si="47"/>
        <v>Empl_301</v>
      </c>
      <c r="C303" s="14" t="s">
        <v>12</v>
      </c>
      <c r="D303" s="14">
        <v>22000</v>
      </c>
      <c r="E303" s="14">
        <f t="shared" ca="1" si="46"/>
        <v>30</v>
      </c>
      <c r="F303" s="14">
        <v>23</v>
      </c>
      <c r="G303" s="14">
        <f t="shared" si="48"/>
        <v>7</v>
      </c>
      <c r="H303" s="15">
        <f t="shared" si="49"/>
        <v>956.52173913043475</v>
      </c>
      <c r="I303" s="15">
        <f t="shared" si="50"/>
        <v>22000</v>
      </c>
      <c r="J303" s="14">
        <f t="shared" si="51"/>
        <v>2640</v>
      </c>
      <c r="K303" s="15">
        <f t="shared" si="52"/>
        <v>165</v>
      </c>
      <c r="L303" s="15">
        <f t="shared" si="53"/>
        <v>19195</v>
      </c>
      <c r="M303" s="14"/>
      <c r="N303" s="14"/>
    </row>
    <row r="304" ht="14.25">
      <c r="A304" s="14">
        <v>302</v>
      </c>
      <c r="B304" s="14" t="str">
        <f t="shared" si="47"/>
        <v>Empl_302</v>
      </c>
      <c r="C304" s="14" t="s">
        <v>10</v>
      </c>
      <c r="D304" s="14">
        <v>49000</v>
      </c>
      <c r="E304" s="14">
        <f t="shared" ca="1" si="46"/>
        <v>30</v>
      </c>
      <c r="F304" s="14">
        <v>24</v>
      </c>
      <c r="G304" s="14">
        <f t="shared" si="48"/>
        <v>6</v>
      </c>
      <c r="H304" s="15">
        <f t="shared" si="49"/>
        <v>2041.6666666666667</v>
      </c>
      <c r="I304" s="15">
        <f t="shared" si="50"/>
        <v>49000</v>
      </c>
      <c r="J304" s="14">
        <f t="shared" si="51"/>
        <v>5880</v>
      </c>
      <c r="K304" s="15">
        <f t="shared" si="52"/>
        <v>367.5</v>
      </c>
      <c r="L304" s="15">
        <f t="shared" si="53"/>
        <v>42752.5</v>
      </c>
      <c r="M304" s="14"/>
      <c r="N304" s="14"/>
    </row>
    <row r="305" ht="14.25">
      <c r="A305" s="14">
        <v>303</v>
      </c>
      <c r="B305" s="14" t="str">
        <f t="shared" si="47"/>
        <v>Empl_303</v>
      </c>
      <c r="C305" s="14" t="s">
        <v>13</v>
      </c>
      <c r="D305" s="14">
        <v>57000</v>
      </c>
      <c r="E305" s="14">
        <f t="shared" ca="1" si="46"/>
        <v>30</v>
      </c>
      <c r="F305" s="14">
        <v>24</v>
      </c>
      <c r="G305" s="14">
        <f t="shared" si="48"/>
        <v>6</v>
      </c>
      <c r="H305" s="15">
        <f t="shared" si="49"/>
        <v>2375</v>
      </c>
      <c r="I305" s="15">
        <f t="shared" si="50"/>
        <v>57000</v>
      </c>
      <c r="J305" s="14">
        <f t="shared" si="51"/>
        <v>6840</v>
      </c>
      <c r="K305" s="15">
        <f t="shared" si="52"/>
        <v>427.5</v>
      </c>
      <c r="L305" s="15">
        <f t="shared" si="53"/>
        <v>49732.5</v>
      </c>
      <c r="M305" s="14"/>
      <c r="N305" s="14"/>
    </row>
    <row r="306" ht="14.25">
      <c r="A306" s="14">
        <v>304</v>
      </c>
      <c r="B306" s="14" t="str">
        <f t="shared" si="47"/>
        <v>Empl_304</v>
      </c>
      <c r="C306" s="14" t="s">
        <v>9</v>
      </c>
      <c r="D306" s="14">
        <v>33000</v>
      </c>
      <c r="E306" s="14">
        <f t="shared" ca="1" si="46"/>
        <v>30</v>
      </c>
      <c r="F306" s="14">
        <v>30</v>
      </c>
      <c r="G306" s="14">
        <f t="shared" si="48"/>
        <v>0</v>
      </c>
      <c r="H306" s="15">
        <f t="shared" si="49"/>
        <v>1100</v>
      </c>
      <c r="I306" s="15">
        <f t="shared" si="50"/>
        <v>33000</v>
      </c>
      <c r="J306" s="14">
        <f t="shared" si="51"/>
        <v>3960</v>
      </c>
      <c r="K306" s="15">
        <f t="shared" si="52"/>
        <v>247.5</v>
      </c>
      <c r="L306" s="15">
        <f t="shared" si="53"/>
        <v>28792.5</v>
      </c>
      <c r="M306" s="14"/>
      <c r="N306" s="14"/>
    </row>
    <row r="307" ht="14.25">
      <c r="A307" s="14">
        <v>305</v>
      </c>
      <c r="B307" s="14" t="str">
        <f t="shared" si="47"/>
        <v>Empl_305</v>
      </c>
      <c r="C307" s="14" t="s">
        <v>11</v>
      </c>
      <c r="D307" s="14">
        <v>34000</v>
      </c>
      <c r="E307" s="14">
        <f t="shared" ca="1" si="46"/>
        <v>30</v>
      </c>
      <c r="F307" s="14">
        <v>22</v>
      </c>
      <c r="G307" s="14">
        <f t="shared" si="48"/>
        <v>8</v>
      </c>
      <c r="H307" s="15">
        <f t="shared" si="49"/>
        <v>1545.4545454545455</v>
      </c>
      <c r="I307" s="15">
        <f t="shared" si="50"/>
        <v>34000</v>
      </c>
      <c r="J307" s="14">
        <f t="shared" si="51"/>
        <v>4080</v>
      </c>
      <c r="K307" s="15">
        <f t="shared" si="52"/>
        <v>255</v>
      </c>
      <c r="L307" s="15">
        <f t="shared" si="53"/>
        <v>29665</v>
      </c>
      <c r="M307" s="14"/>
      <c r="N307" s="14"/>
    </row>
    <row r="308" ht="14.25">
      <c r="A308" s="14">
        <v>306</v>
      </c>
      <c r="B308" s="14" t="str">
        <f t="shared" si="47"/>
        <v>Empl_306</v>
      </c>
      <c r="C308" s="14" t="s">
        <v>8</v>
      </c>
      <c r="D308" s="14">
        <v>23000</v>
      </c>
      <c r="E308" s="14">
        <f t="shared" ca="1" si="46"/>
        <v>30</v>
      </c>
      <c r="F308" s="14">
        <v>20</v>
      </c>
      <c r="G308" s="14">
        <f t="shared" si="48"/>
        <v>10</v>
      </c>
      <c r="H308" s="15">
        <f t="shared" si="49"/>
        <v>1150</v>
      </c>
      <c r="I308" s="15">
        <f t="shared" si="50"/>
        <v>23000</v>
      </c>
      <c r="J308" s="14">
        <f t="shared" si="51"/>
        <v>2760</v>
      </c>
      <c r="K308" s="15">
        <f t="shared" si="52"/>
        <v>172.5</v>
      </c>
      <c r="L308" s="15">
        <f t="shared" si="53"/>
        <v>20067.5</v>
      </c>
      <c r="M308" s="14"/>
      <c r="N308" s="14"/>
    </row>
    <row r="309" ht="14.25">
      <c r="A309" s="14">
        <v>307</v>
      </c>
      <c r="B309" s="14" t="str">
        <f t="shared" si="47"/>
        <v>Empl_307</v>
      </c>
      <c r="C309" s="14" t="s">
        <v>12</v>
      </c>
      <c r="D309" s="14">
        <v>36000</v>
      </c>
      <c r="E309" s="14">
        <f t="shared" ca="1" si="46"/>
        <v>30</v>
      </c>
      <c r="F309" s="14">
        <v>29</v>
      </c>
      <c r="G309" s="14">
        <f t="shared" si="48"/>
        <v>1</v>
      </c>
      <c r="H309" s="15">
        <f t="shared" si="49"/>
        <v>1241.3793103448277</v>
      </c>
      <c r="I309" s="15">
        <f t="shared" si="50"/>
        <v>36000</v>
      </c>
      <c r="J309" s="14">
        <f t="shared" si="51"/>
        <v>4320</v>
      </c>
      <c r="K309" s="15">
        <f t="shared" si="52"/>
        <v>270</v>
      </c>
      <c r="L309" s="15">
        <f t="shared" si="53"/>
        <v>31410</v>
      </c>
      <c r="M309" s="14"/>
      <c r="N309" s="14"/>
    </row>
    <row r="310" ht="14.25">
      <c r="A310" s="14">
        <v>308</v>
      </c>
      <c r="B310" s="14" t="str">
        <f t="shared" si="47"/>
        <v>Empl_308</v>
      </c>
      <c r="C310" s="14" t="s">
        <v>10</v>
      </c>
      <c r="D310" s="14">
        <v>28000</v>
      </c>
      <c r="E310" s="14">
        <f t="shared" ca="1" si="46"/>
        <v>30</v>
      </c>
      <c r="F310" s="14">
        <v>20</v>
      </c>
      <c r="G310" s="14">
        <f t="shared" si="48"/>
        <v>10</v>
      </c>
      <c r="H310" s="15">
        <f t="shared" si="49"/>
        <v>1400</v>
      </c>
      <c r="I310" s="15">
        <f t="shared" si="50"/>
        <v>28000</v>
      </c>
      <c r="J310" s="14">
        <f t="shared" si="51"/>
        <v>3360</v>
      </c>
      <c r="K310" s="15">
        <f t="shared" si="52"/>
        <v>210</v>
      </c>
      <c r="L310" s="15">
        <f t="shared" si="53"/>
        <v>24430</v>
      </c>
      <c r="M310" s="14"/>
      <c r="N310" s="14"/>
    </row>
    <row r="311" ht="14.25">
      <c r="A311" s="14">
        <v>309</v>
      </c>
      <c r="B311" s="14" t="str">
        <f t="shared" si="47"/>
        <v>Empl_309</v>
      </c>
      <c r="C311" s="14" t="s">
        <v>13</v>
      </c>
      <c r="D311" s="14">
        <v>27000</v>
      </c>
      <c r="E311" s="14">
        <f t="shared" ca="1" si="46"/>
        <v>30</v>
      </c>
      <c r="F311" s="14">
        <v>20</v>
      </c>
      <c r="G311" s="14">
        <f t="shared" si="48"/>
        <v>10</v>
      </c>
      <c r="H311" s="15">
        <f t="shared" si="49"/>
        <v>1350</v>
      </c>
      <c r="I311" s="15">
        <f t="shared" si="50"/>
        <v>27000</v>
      </c>
      <c r="J311" s="14">
        <f t="shared" si="51"/>
        <v>3240</v>
      </c>
      <c r="K311" s="15">
        <f t="shared" si="52"/>
        <v>202.5</v>
      </c>
      <c r="L311" s="15">
        <f t="shared" si="53"/>
        <v>23557.5</v>
      </c>
      <c r="M311" s="14"/>
      <c r="N311" s="14"/>
    </row>
    <row r="312" ht="14.25">
      <c r="A312" s="14">
        <v>310</v>
      </c>
      <c r="B312" s="14" t="str">
        <f t="shared" si="47"/>
        <v>Empl_310</v>
      </c>
      <c r="C312" s="14" t="s">
        <v>9</v>
      </c>
      <c r="D312" s="14">
        <v>50000</v>
      </c>
      <c r="E312" s="14">
        <f t="shared" ca="1" si="46"/>
        <v>30</v>
      </c>
      <c r="F312" s="14">
        <v>24</v>
      </c>
      <c r="G312" s="14">
        <f t="shared" si="48"/>
        <v>6</v>
      </c>
      <c r="H312" s="15">
        <f t="shared" si="49"/>
        <v>2083.3333333333335</v>
      </c>
      <c r="I312" s="15">
        <f t="shared" si="50"/>
        <v>50000</v>
      </c>
      <c r="J312" s="14">
        <f t="shared" si="51"/>
        <v>6000</v>
      </c>
      <c r="K312" s="15">
        <f t="shared" si="52"/>
        <v>375</v>
      </c>
      <c r="L312" s="15">
        <f t="shared" si="53"/>
        <v>43625</v>
      </c>
      <c r="M312" s="14"/>
      <c r="N312" s="14"/>
    </row>
    <row r="313" ht="14.25">
      <c r="A313" s="14">
        <v>311</v>
      </c>
      <c r="B313" s="14" t="str">
        <f t="shared" si="47"/>
        <v>Empl_311</v>
      </c>
      <c r="C313" s="14" t="s">
        <v>11</v>
      </c>
      <c r="D313" s="14">
        <v>38000</v>
      </c>
      <c r="E313" s="14">
        <f t="shared" ca="1" si="46"/>
        <v>30</v>
      </c>
      <c r="F313" s="14">
        <v>23</v>
      </c>
      <c r="G313" s="14">
        <f t="shared" si="48"/>
        <v>7</v>
      </c>
      <c r="H313" s="15">
        <f t="shared" si="49"/>
        <v>1652.1739130434783</v>
      </c>
      <c r="I313" s="15">
        <f t="shared" si="50"/>
        <v>38000</v>
      </c>
      <c r="J313" s="14">
        <f t="shared" si="51"/>
        <v>4560</v>
      </c>
      <c r="K313" s="15">
        <f t="shared" si="52"/>
        <v>285</v>
      </c>
      <c r="L313" s="15">
        <f t="shared" si="53"/>
        <v>33155</v>
      </c>
      <c r="M313" s="14"/>
      <c r="N313" s="14"/>
    </row>
    <row r="314" ht="14.25">
      <c r="A314" s="14">
        <v>312</v>
      </c>
      <c r="B314" s="14" t="str">
        <f t="shared" si="47"/>
        <v>Empl_312</v>
      </c>
      <c r="C314" s="14" t="s">
        <v>8</v>
      </c>
      <c r="D314" s="14">
        <v>57000</v>
      </c>
      <c r="E314" s="14">
        <f t="shared" ca="1" si="46"/>
        <v>30</v>
      </c>
      <c r="F314" s="14">
        <v>21</v>
      </c>
      <c r="G314" s="14">
        <f t="shared" si="48"/>
        <v>9</v>
      </c>
      <c r="H314" s="15">
        <f t="shared" si="49"/>
        <v>2714.2857142857142</v>
      </c>
      <c r="I314" s="15">
        <f t="shared" si="50"/>
        <v>57000</v>
      </c>
      <c r="J314" s="14">
        <f t="shared" si="51"/>
        <v>6840</v>
      </c>
      <c r="K314" s="15">
        <f t="shared" si="52"/>
        <v>427.5</v>
      </c>
      <c r="L314" s="15">
        <f t="shared" si="53"/>
        <v>49732.5</v>
      </c>
      <c r="M314" s="14"/>
      <c r="N314" s="14"/>
    </row>
    <row r="315" ht="14.25">
      <c r="A315" s="14">
        <v>313</v>
      </c>
      <c r="B315" s="14" t="str">
        <f t="shared" si="47"/>
        <v>Empl_313</v>
      </c>
      <c r="C315" s="14" t="s">
        <v>12</v>
      </c>
      <c r="D315" s="14">
        <v>18000</v>
      </c>
      <c r="E315" s="14">
        <f t="shared" ca="1" si="46"/>
        <v>30</v>
      </c>
      <c r="F315" s="14">
        <v>21</v>
      </c>
      <c r="G315" s="14">
        <f t="shared" si="48"/>
        <v>9</v>
      </c>
      <c r="H315" s="15">
        <f t="shared" si="49"/>
        <v>857.14285714285711</v>
      </c>
      <c r="I315" s="15">
        <f t="shared" si="50"/>
        <v>18000</v>
      </c>
      <c r="J315" s="14">
        <f t="shared" si="51"/>
        <v>2160</v>
      </c>
      <c r="K315" s="15">
        <f t="shared" si="52"/>
        <v>135</v>
      </c>
      <c r="L315" s="15">
        <f t="shared" si="53"/>
        <v>15705</v>
      </c>
      <c r="M315" s="14"/>
      <c r="N315" s="14"/>
    </row>
    <row r="316" ht="14.25">
      <c r="A316" s="14">
        <v>314</v>
      </c>
      <c r="B316" s="14" t="str">
        <f t="shared" si="47"/>
        <v>Empl_314</v>
      </c>
      <c r="C316" s="14" t="s">
        <v>10</v>
      </c>
      <c r="D316" s="14">
        <v>25000</v>
      </c>
      <c r="E316" s="14">
        <f t="shared" ca="1" si="46"/>
        <v>30</v>
      </c>
      <c r="F316" s="14">
        <v>28</v>
      </c>
      <c r="G316" s="14">
        <f t="shared" si="48"/>
        <v>2</v>
      </c>
      <c r="H316" s="15">
        <f t="shared" si="49"/>
        <v>892.85714285714289</v>
      </c>
      <c r="I316" s="15">
        <f t="shared" si="50"/>
        <v>25000</v>
      </c>
      <c r="J316" s="14">
        <f t="shared" si="51"/>
        <v>3000</v>
      </c>
      <c r="K316" s="15">
        <f t="shared" si="52"/>
        <v>187.5</v>
      </c>
      <c r="L316" s="15">
        <f t="shared" si="53"/>
        <v>21812.5</v>
      </c>
      <c r="M316" s="14"/>
      <c r="N316" s="14"/>
    </row>
    <row r="317" ht="14.25">
      <c r="A317" s="14">
        <v>315</v>
      </c>
      <c r="B317" s="14" t="str">
        <f t="shared" si="47"/>
        <v>Empl_315</v>
      </c>
      <c r="C317" s="14" t="s">
        <v>13</v>
      </c>
      <c r="D317" s="14">
        <v>28000</v>
      </c>
      <c r="E317" s="14">
        <f t="shared" ca="1" si="46"/>
        <v>30</v>
      </c>
      <c r="F317" s="14">
        <v>27</v>
      </c>
      <c r="G317" s="14">
        <f t="shared" si="48"/>
        <v>3</v>
      </c>
      <c r="H317" s="15">
        <f t="shared" si="49"/>
        <v>1037.037037037037</v>
      </c>
      <c r="I317" s="15">
        <f t="shared" si="50"/>
        <v>27999.999999999996</v>
      </c>
      <c r="J317" s="14">
        <f t="shared" si="51"/>
        <v>3359.9999999999995</v>
      </c>
      <c r="K317" s="15">
        <f t="shared" si="52"/>
        <v>209.99999999999997</v>
      </c>
      <c r="L317" s="15">
        <f t="shared" si="53"/>
        <v>24429.999999999996</v>
      </c>
      <c r="M317" s="14"/>
      <c r="N317" s="14"/>
    </row>
    <row r="318" ht="14.25">
      <c r="A318" s="14">
        <v>316</v>
      </c>
      <c r="B318" s="14" t="str">
        <f t="shared" si="47"/>
        <v>Empl_316</v>
      </c>
      <c r="C318" s="14" t="s">
        <v>9</v>
      </c>
      <c r="D318" s="14">
        <v>25000</v>
      </c>
      <c r="E318" s="14">
        <f t="shared" ca="1" si="46"/>
        <v>30</v>
      </c>
      <c r="F318" s="14">
        <v>27</v>
      </c>
      <c r="G318" s="14">
        <f t="shared" si="48"/>
        <v>3</v>
      </c>
      <c r="H318" s="15">
        <f t="shared" si="49"/>
        <v>925.92592592592598</v>
      </c>
      <c r="I318" s="15">
        <f t="shared" si="50"/>
        <v>25000</v>
      </c>
      <c r="J318" s="14">
        <f t="shared" si="51"/>
        <v>3000</v>
      </c>
      <c r="K318" s="15">
        <f t="shared" si="52"/>
        <v>187.5</v>
      </c>
      <c r="L318" s="15">
        <f t="shared" si="53"/>
        <v>21812.5</v>
      </c>
      <c r="M318" s="14"/>
      <c r="N318" s="14"/>
    </row>
    <row r="319" ht="14.25">
      <c r="A319" s="14">
        <v>317</v>
      </c>
      <c r="B319" s="14" t="str">
        <f t="shared" si="47"/>
        <v>Empl_317</v>
      </c>
      <c r="C319" s="14" t="s">
        <v>11</v>
      </c>
      <c r="D319" s="14">
        <v>36000</v>
      </c>
      <c r="E319" s="14">
        <f t="shared" ca="1" si="46"/>
        <v>30</v>
      </c>
      <c r="F319" s="14">
        <v>29</v>
      </c>
      <c r="G319" s="14">
        <f t="shared" si="48"/>
        <v>1</v>
      </c>
      <c r="H319" s="15">
        <f t="shared" si="49"/>
        <v>1241.3793103448277</v>
      </c>
      <c r="I319" s="15">
        <f t="shared" si="50"/>
        <v>36000</v>
      </c>
      <c r="J319" s="14">
        <f t="shared" si="51"/>
        <v>4320</v>
      </c>
      <c r="K319" s="15">
        <f t="shared" si="52"/>
        <v>270</v>
      </c>
      <c r="L319" s="15">
        <f t="shared" si="53"/>
        <v>31410</v>
      </c>
      <c r="M319" s="14"/>
      <c r="N319" s="14"/>
    </row>
    <row r="320" ht="14.25">
      <c r="A320" s="14">
        <v>318</v>
      </c>
      <c r="B320" s="14" t="str">
        <f t="shared" si="47"/>
        <v>Empl_318</v>
      </c>
      <c r="C320" s="14" t="s">
        <v>8</v>
      </c>
      <c r="D320" s="14">
        <v>44000</v>
      </c>
      <c r="E320" s="14">
        <f t="shared" ca="1" si="46"/>
        <v>30</v>
      </c>
      <c r="F320" s="14">
        <v>22</v>
      </c>
      <c r="G320" s="14">
        <f t="shared" si="48"/>
        <v>8</v>
      </c>
      <c r="H320" s="15">
        <f t="shared" si="49"/>
        <v>2000</v>
      </c>
      <c r="I320" s="15">
        <f t="shared" si="50"/>
        <v>44000</v>
      </c>
      <c r="J320" s="14">
        <f t="shared" si="51"/>
        <v>5280</v>
      </c>
      <c r="K320" s="15">
        <f t="shared" si="52"/>
        <v>330</v>
      </c>
      <c r="L320" s="15">
        <f t="shared" si="53"/>
        <v>38390</v>
      </c>
      <c r="M320" s="14"/>
      <c r="N320" s="14"/>
    </row>
    <row r="321" ht="14.25">
      <c r="A321" s="14">
        <v>319</v>
      </c>
      <c r="B321" s="14" t="str">
        <f t="shared" si="47"/>
        <v>Empl_319</v>
      </c>
      <c r="C321" s="14" t="s">
        <v>12</v>
      </c>
      <c r="D321" s="14">
        <v>55000</v>
      </c>
      <c r="E321" s="14">
        <f t="shared" ca="1" si="46"/>
        <v>30</v>
      </c>
      <c r="F321" s="14">
        <v>24</v>
      </c>
      <c r="G321" s="14">
        <f t="shared" si="48"/>
        <v>6</v>
      </c>
      <c r="H321" s="15">
        <f t="shared" si="49"/>
        <v>2291.6666666666665</v>
      </c>
      <c r="I321" s="15">
        <f t="shared" si="50"/>
        <v>55000</v>
      </c>
      <c r="J321" s="14">
        <f t="shared" si="51"/>
        <v>6600</v>
      </c>
      <c r="K321" s="15">
        <f t="shared" si="52"/>
        <v>412.5</v>
      </c>
      <c r="L321" s="15">
        <f t="shared" si="53"/>
        <v>47987.5</v>
      </c>
      <c r="M321" s="14"/>
      <c r="N321" s="14"/>
    </row>
    <row r="322" ht="14.25">
      <c r="A322" s="14">
        <v>320</v>
      </c>
      <c r="B322" s="14" t="str">
        <f t="shared" si="47"/>
        <v>Empl_320</v>
      </c>
      <c r="C322" s="14" t="s">
        <v>10</v>
      </c>
      <c r="D322" s="14">
        <v>31000</v>
      </c>
      <c r="E322" s="14">
        <f t="shared" ca="1" si="46"/>
        <v>30</v>
      </c>
      <c r="F322" s="14">
        <v>20</v>
      </c>
      <c r="G322" s="14">
        <f t="shared" si="48"/>
        <v>10</v>
      </c>
      <c r="H322" s="15">
        <f t="shared" si="49"/>
        <v>1550</v>
      </c>
      <c r="I322" s="15">
        <f t="shared" si="50"/>
        <v>31000</v>
      </c>
      <c r="J322" s="14">
        <f t="shared" si="51"/>
        <v>3720</v>
      </c>
      <c r="K322" s="15">
        <f t="shared" si="52"/>
        <v>232.5</v>
      </c>
      <c r="L322" s="15">
        <f t="shared" si="53"/>
        <v>27047.5</v>
      </c>
      <c r="M322" s="14"/>
      <c r="N322" s="14"/>
    </row>
    <row r="323" ht="14.25">
      <c r="A323" s="14">
        <v>321</v>
      </c>
      <c r="B323" s="14" t="str">
        <f t="shared" si="47"/>
        <v>Empl_321</v>
      </c>
      <c r="C323" s="14" t="s">
        <v>13</v>
      </c>
      <c r="D323" s="14">
        <v>56000</v>
      </c>
      <c r="E323" s="14">
        <f t="shared" ref="E323:E386" ca="1" si="54">DAY(EOMONTH(TODAY(),0))</f>
        <v>30</v>
      </c>
      <c r="F323" s="14">
        <v>27</v>
      </c>
      <c r="G323" s="14">
        <f t="shared" si="48"/>
        <v>3</v>
      </c>
      <c r="H323" s="15">
        <f t="shared" si="49"/>
        <v>2074.0740740740739</v>
      </c>
      <c r="I323" s="15">
        <f t="shared" si="50"/>
        <v>55999.999999999993</v>
      </c>
      <c r="J323" s="14">
        <f t="shared" si="51"/>
        <v>6719.9999999999991</v>
      </c>
      <c r="K323" s="15">
        <f t="shared" si="52"/>
        <v>419.99999999999994</v>
      </c>
      <c r="L323" s="15">
        <f t="shared" si="53"/>
        <v>48859.999999999993</v>
      </c>
      <c r="M323" s="14"/>
      <c r="N323" s="14"/>
    </row>
    <row r="324" ht="14.25">
      <c r="A324" s="14">
        <v>322</v>
      </c>
      <c r="B324" s="14" t="str">
        <f t="shared" si="47"/>
        <v>Empl_322</v>
      </c>
      <c r="C324" s="14" t="s">
        <v>9</v>
      </c>
      <c r="D324" s="14">
        <v>48000</v>
      </c>
      <c r="E324" s="14">
        <f t="shared" ca="1" si="54"/>
        <v>30</v>
      </c>
      <c r="F324" s="14">
        <v>30</v>
      </c>
      <c r="G324" s="14">
        <f t="shared" si="48"/>
        <v>0</v>
      </c>
      <c r="H324" s="15">
        <f t="shared" si="49"/>
        <v>1600</v>
      </c>
      <c r="I324" s="15">
        <f t="shared" si="50"/>
        <v>48000</v>
      </c>
      <c r="J324" s="14">
        <f t="shared" si="51"/>
        <v>5760</v>
      </c>
      <c r="K324" s="15">
        <f t="shared" si="52"/>
        <v>360</v>
      </c>
      <c r="L324" s="15">
        <f t="shared" si="53"/>
        <v>41880</v>
      </c>
      <c r="M324" s="14"/>
      <c r="N324" s="14"/>
    </row>
    <row r="325" ht="14.25">
      <c r="A325" s="14">
        <v>323</v>
      </c>
      <c r="B325" s="14" t="str">
        <f t="shared" si="47"/>
        <v>Empl_323</v>
      </c>
      <c r="C325" s="14" t="s">
        <v>11</v>
      </c>
      <c r="D325" s="14">
        <v>57000</v>
      </c>
      <c r="E325" s="14">
        <f t="shared" ca="1" si="54"/>
        <v>30</v>
      </c>
      <c r="F325" s="14">
        <v>21</v>
      </c>
      <c r="G325" s="14">
        <f t="shared" si="48"/>
        <v>9</v>
      </c>
      <c r="H325" s="15">
        <f t="shared" si="49"/>
        <v>2714.2857142857142</v>
      </c>
      <c r="I325" s="15">
        <f t="shared" si="50"/>
        <v>57000</v>
      </c>
      <c r="J325" s="14">
        <f t="shared" si="51"/>
        <v>6840</v>
      </c>
      <c r="K325" s="15">
        <f t="shared" si="52"/>
        <v>427.5</v>
      </c>
      <c r="L325" s="15">
        <f t="shared" si="53"/>
        <v>49732.5</v>
      </c>
      <c r="M325" s="14"/>
      <c r="N325" s="14"/>
    </row>
    <row r="326" ht="14.25">
      <c r="A326" s="14">
        <v>324</v>
      </c>
      <c r="B326" s="14" t="str">
        <f t="shared" si="47"/>
        <v>Empl_324</v>
      </c>
      <c r="C326" s="14" t="s">
        <v>8</v>
      </c>
      <c r="D326" s="14">
        <v>43000</v>
      </c>
      <c r="E326" s="14">
        <f t="shared" ca="1" si="54"/>
        <v>30</v>
      </c>
      <c r="F326" s="14">
        <v>26</v>
      </c>
      <c r="G326" s="14">
        <f t="shared" si="48"/>
        <v>4</v>
      </c>
      <c r="H326" s="15">
        <f t="shared" si="49"/>
        <v>1653.8461538461538</v>
      </c>
      <c r="I326" s="15">
        <f t="shared" si="50"/>
        <v>43000</v>
      </c>
      <c r="J326" s="14">
        <f t="shared" si="51"/>
        <v>5160</v>
      </c>
      <c r="K326" s="15">
        <f t="shared" si="52"/>
        <v>322.5</v>
      </c>
      <c r="L326" s="15">
        <f t="shared" si="53"/>
        <v>37517.5</v>
      </c>
      <c r="M326" s="14"/>
      <c r="N326" s="14"/>
    </row>
    <row r="327" ht="14.25">
      <c r="A327" s="14">
        <v>325</v>
      </c>
      <c r="B327" s="14" t="str">
        <f t="shared" si="47"/>
        <v>Empl_325</v>
      </c>
      <c r="C327" s="14" t="s">
        <v>12</v>
      </c>
      <c r="D327" s="14">
        <v>44000</v>
      </c>
      <c r="E327" s="14">
        <f t="shared" ca="1" si="54"/>
        <v>30</v>
      </c>
      <c r="F327" s="14">
        <v>30</v>
      </c>
      <c r="G327" s="14">
        <f t="shared" si="48"/>
        <v>0</v>
      </c>
      <c r="H327" s="15">
        <f t="shared" si="49"/>
        <v>1466.6666666666667</v>
      </c>
      <c r="I327" s="15">
        <f t="shared" si="50"/>
        <v>44000</v>
      </c>
      <c r="J327" s="14">
        <f t="shared" si="51"/>
        <v>5280</v>
      </c>
      <c r="K327" s="15">
        <f t="shared" si="52"/>
        <v>330</v>
      </c>
      <c r="L327" s="15">
        <f t="shared" si="53"/>
        <v>38390</v>
      </c>
      <c r="M327" s="14"/>
      <c r="N327" s="14"/>
    </row>
    <row r="328" ht="14.25">
      <c r="A328" s="14">
        <v>326</v>
      </c>
      <c r="B328" s="14" t="str">
        <f t="shared" si="47"/>
        <v>Empl_326</v>
      </c>
      <c r="C328" s="14" t="s">
        <v>10</v>
      </c>
      <c r="D328" s="14">
        <v>30000</v>
      </c>
      <c r="E328" s="14">
        <f t="shared" ca="1" si="54"/>
        <v>30</v>
      </c>
      <c r="F328" s="14">
        <v>26</v>
      </c>
      <c r="G328" s="14">
        <f t="shared" si="48"/>
        <v>4</v>
      </c>
      <c r="H328" s="15">
        <f t="shared" si="49"/>
        <v>1153.8461538461538</v>
      </c>
      <c r="I328" s="15">
        <f t="shared" si="50"/>
        <v>30000</v>
      </c>
      <c r="J328" s="14">
        <f t="shared" si="51"/>
        <v>3600</v>
      </c>
      <c r="K328" s="15">
        <f t="shared" si="52"/>
        <v>225</v>
      </c>
      <c r="L328" s="15">
        <f t="shared" si="53"/>
        <v>26175</v>
      </c>
      <c r="M328" s="14"/>
      <c r="N328" s="14"/>
    </row>
    <row r="329" ht="14.25">
      <c r="A329" s="14">
        <v>327</v>
      </c>
      <c r="B329" s="14" t="str">
        <f t="shared" si="47"/>
        <v>Empl_327</v>
      </c>
      <c r="C329" s="14" t="s">
        <v>13</v>
      </c>
      <c r="D329" s="14">
        <v>46000</v>
      </c>
      <c r="E329" s="14">
        <f t="shared" ca="1" si="54"/>
        <v>30</v>
      </c>
      <c r="F329" s="14">
        <v>21</v>
      </c>
      <c r="G329" s="14">
        <f t="shared" si="48"/>
        <v>9</v>
      </c>
      <c r="H329" s="15">
        <f t="shared" si="49"/>
        <v>2190.4761904761904</v>
      </c>
      <c r="I329" s="15">
        <f t="shared" si="50"/>
        <v>46000</v>
      </c>
      <c r="J329" s="14">
        <f t="shared" si="51"/>
        <v>5520</v>
      </c>
      <c r="K329" s="15">
        <f t="shared" si="52"/>
        <v>345</v>
      </c>
      <c r="L329" s="15">
        <f t="shared" si="53"/>
        <v>40135</v>
      </c>
      <c r="M329" s="14"/>
      <c r="N329" s="14"/>
    </row>
    <row r="330" ht="14.25">
      <c r="A330" s="14">
        <v>328</v>
      </c>
      <c r="B330" s="14" t="str">
        <f t="shared" si="47"/>
        <v>Empl_328</v>
      </c>
      <c r="C330" s="14" t="s">
        <v>9</v>
      </c>
      <c r="D330" s="14">
        <v>18000</v>
      </c>
      <c r="E330" s="14">
        <f t="shared" ca="1" si="54"/>
        <v>30</v>
      </c>
      <c r="F330" s="14">
        <v>23</v>
      </c>
      <c r="G330" s="14">
        <f t="shared" si="48"/>
        <v>7</v>
      </c>
      <c r="H330" s="15">
        <f t="shared" si="49"/>
        <v>782.60869565217388</v>
      </c>
      <c r="I330" s="15">
        <f t="shared" si="50"/>
        <v>18000</v>
      </c>
      <c r="J330" s="14">
        <f t="shared" si="51"/>
        <v>2160</v>
      </c>
      <c r="K330" s="15">
        <f t="shared" si="52"/>
        <v>135</v>
      </c>
      <c r="L330" s="15">
        <f t="shared" si="53"/>
        <v>15705</v>
      </c>
      <c r="M330" s="14"/>
      <c r="N330" s="14"/>
    </row>
    <row r="331" ht="14.25">
      <c r="A331" s="14">
        <v>329</v>
      </c>
      <c r="B331" s="14" t="str">
        <f t="shared" si="47"/>
        <v>Empl_329</v>
      </c>
      <c r="C331" s="14" t="s">
        <v>11</v>
      </c>
      <c r="D331" s="14">
        <v>48000</v>
      </c>
      <c r="E331" s="14">
        <f t="shared" ca="1" si="54"/>
        <v>30</v>
      </c>
      <c r="F331" s="14">
        <v>26</v>
      </c>
      <c r="G331" s="14">
        <f t="shared" si="48"/>
        <v>4</v>
      </c>
      <c r="H331" s="15">
        <f t="shared" si="49"/>
        <v>1846.1538461538462</v>
      </c>
      <c r="I331" s="15">
        <f t="shared" si="50"/>
        <v>48000</v>
      </c>
      <c r="J331" s="14">
        <f t="shared" si="51"/>
        <v>5760</v>
      </c>
      <c r="K331" s="15">
        <f t="shared" si="52"/>
        <v>360</v>
      </c>
      <c r="L331" s="15">
        <f t="shared" si="53"/>
        <v>41880</v>
      </c>
      <c r="M331" s="14"/>
      <c r="N331" s="14"/>
    </row>
    <row r="332" ht="14.25">
      <c r="A332" s="14">
        <v>330</v>
      </c>
      <c r="B332" s="14" t="str">
        <f t="shared" si="47"/>
        <v>Empl_330</v>
      </c>
      <c r="C332" s="14" t="s">
        <v>8</v>
      </c>
      <c r="D332" s="14">
        <v>50000</v>
      </c>
      <c r="E332" s="14">
        <f t="shared" ca="1" si="54"/>
        <v>30</v>
      </c>
      <c r="F332" s="14">
        <v>20</v>
      </c>
      <c r="G332" s="14">
        <f t="shared" si="48"/>
        <v>10</v>
      </c>
      <c r="H332" s="15">
        <f t="shared" si="49"/>
        <v>2500</v>
      </c>
      <c r="I332" s="15">
        <f t="shared" si="50"/>
        <v>50000</v>
      </c>
      <c r="J332" s="14">
        <f t="shared" si="51"/>
        <v>6000</v>
      </c>
      <c r="K332" s="15">
        <f t="shared" si="52"/>
        <v>375</v>
      </c>
      <c r="L332" s="15">
        <f t="shared" si="53"/>
        <v>43625</v>
      </c>
      <c r="M332" s="14"/>
      <c r="N332" s="14"/>
    </row>
    <row r="333" ht="14.25">
      <c r="A333" s="14">
        <v>331</v>
      </c>
      <c r="B333" s="14" t="str">
        <f t="shared" si="47"/>
        <v>Empl_331</v>
      </c>
      <c r="C333" s="14" t="s">
        <v>12</v>
      </c>
      <c r="D333" s="14">
        <v>28000</v>
      </c>
      <c r="E333" s="14">
        <f t="shared" ca="1" si="54"/>
        <v>30</v>
      </c>
      <c r="F333" s="14">
        <v>27</v>
      </c>
      <c r="G333" s="14">
        <f t="shared" si="48"/>
        <v>3</v>
      </c>
      <c r="H333" s="15">
        <f t="shared" si="49"/>
        <v>1037.037037037037</v>
      </c>
      <c r="I333" s="15">
        <f t="shared" si="50"/>
        <v>27999.999999999996</v>
      </c>
      <c r="J333" s="14">
        <f t="shared" si="51"/>
        <v>3359.9999999999995</v>
      </c>
      <c r="K333" s="15">
        <f t="shared" si="52"/>
        <v>209.99999999999997</v>
      </c>
      <c r="L333" s="15">
        <f t="shared" si="53"/>
        <v>24429.999999999996</v>
      </c>
      <c r="M333" s="14"/>
      <c r="N333" s="14"/>
    </row>
    <row r="334" ht="14.25">
      <c r="A334" s="14">
        <v>332</v>
      </c>
      <c r="B334" s="14" t="str">
        <f t="shared" si="47"/>
        <v>Empl_332</v>
      </c>
      <c r="C334" s="14" t="s">
        <v>10</v>
      </c>
      <c r="D334" s="14">
        <v>59000</v>
      </c>
      <c r="E334" s="14">
        <f t="shared" ca="1" si="54"/>
        <v>30</v>
      </c>
      <c r="F334" s="14">
        <v>27</v>
      </c>
      <c r="G334" s="14">
        <f t="shared" si="48"/>
        <v>3</v>
      </c>
      <c r="H334" s="15">
        <f t="shared" si="49"/>
        <v>2185.1851851851852</v>
      </c>
      <c r="I334" s="15">
        <f t="shared" si="50"/>
        <v>59000</v>
      </c>
      <c r="J334" s="14">
        <f t="shared" si="51"/>
        <v>7080</v>
      </c>
      <c r="K334" s="15">
        <f t="shared" si="52"/>
        <v>442.5</v>
      </c>
      <c r="L334" s="15">
        <f t="shared" si="53"/>
        <v>51477.5</v>
      </c>
      <c r="M334" s="14"/>
      <c r="N334" s="14"/>
    </row>
    <row r="335" ht="14.25">
      <c r="A335" s="14">
        <v>333</v>
      </c>
      <c r="B335" s="14" t="str">
        <f t="shared" si="47"/>
        <v>Empl_333</v>
      </c>
      <c r="C335" s="14" t="s">
        <v>13</v>
      </c>
      <c r="D335" s="14">
        <v>44000</v>
      </c>
      <c r="E335" s="14">
        <f t="shared" ca="1" si="54"/>
        <v>30</v>
      </c>
      <c r="F335" s="14">
        <v>24</v>
      </c>
      <c r="G335" s="14">
        <f t="shared" si="48"/>
        <v>6</v>
      </c>
      <c r="H335" s="15">
        <f t="shared" si="49"/>
        <v>1833.3333333333333</v>
      </c>
      <c r="I335" s="15">
        <f t="shared" si="50"/>
        <v>44000</v>
      </c>
      <c r="J335" s="14">
        <f t="shared" si="51"/>
        <v>5280</v>
      </c>
      <c r="K335" s="15">
        <f t="shared" si="52"/>
        <v>330</v>
      </c>
      <c r="L335" s="15">
        <f t="shared" si="53"/>
        <v>38390</v>
      </c>
      <c r="M335" s="14"/>
      <c r="N335" s="14"/>
    </row>
    <row r="336" ht="14.25">
      <c r="A336" s="14">
        <v>334</v>
      </c>
      <c r="B336" s="14" t="str">
        <f t="shared" si="47"/>
        <v>Empl_334</v>
      </c>
      <c r="C336" s="14" t="s">
        <v>9</v>
      </c>
      <c r="D336" s="14">
        <v>16000</v>
      </c>
      <c r="E336" s="14">
        <f t="shared" ca="1" si="54"/>
        <v>30</v>
      </c>
      <c r="F336" s="14">
        <v>29</v>
      </c>
      <c r="G336" s="14">
        <f t="shared" si="48"/>
        <v>1</v>
      </c>
      <c r="H336" s="15">
        <f t="shared" si="49"/>
        <v>551.72413793103453</v>
      </c>
      <c r="I336" s="15">
        <f t="shared" si="50"/>
        <v>16000.000000000002</v>
      </c>
      <c r="J336" s="14">
        <f t="shared" si="51"/>
        <v>1920.0000000000002</v>
      </c>
      <c r="K336" s="15">
        <f t="shared" si="52"/>
        <v>120.00000000000001</v>
      </c>
      <c r="L336" s="15">
        <f t="shared" si="53"/>
        <v>13960.000000000002</v>
      </c>
      <c r="M336" s="14"/>
      <c r="N336" s="14"/>
    </row>
    <row r="337" ht="14.25">
      <c r="A337" s="14">
        <v>335</v>
      </c>
      <c r="B337" s="14" t="str">
        <f t="shared" si="47"/>
        <v>Empl_335</v>
      </c>
      <c r="C337" s="14" t="s">
        <v>11</v>
      </c>
      <c r="D337" s="14">
        <v>25000</v>
      </c>
      <c r="E337" s="14">
        <f t="shared" ca="1" si="54"/>
        <v>30</v>
      </c>
      <c r="F337" s="14">
        <v>20</v>
      </c>
      <c r="G337" s="14">
        <f t="shared" si="48"/>
        <v>10</v>
      </c>
      <c r="H337" s="15">
        <f t="shared" si="49"/>
        <v>1250</v>
      </c>
      <c r="I337" s="15">
        <f t="shared" si="50"/>
        <v>25000</v>
      </c>
      <c r="J337" s="14">
        <f t="shared" si="51"/>
        <v>3000</v>
      </c>
      <c r="K337" s="15">
        <f t="shared" si="52"/>
        <v>187.5</v>
      </c>
      <c r="L337" s="15">
        <f t="shared" si="53"/>
        <v>21812.5</v>
      </c>
      <c r="M337" s="14"/>
      <c r="N337" s="14"/>
    </row>
    <row r="338" ht="14.25">
      <c r="A338" s="14">
        <v>336</v>
      </c>
      <c r="B338" s="14" t="str">
        <f t="shared" si="47"/>
        <v>Empl_336</v>
      </c>
      <c r="C338" s="14" t="s">
        <v>8</v>
      </c>
      <c r="D338" s="14">
        <v>48000</v>
      </c>
      <c r="E338" s="14">
        <f t="shared" ca="1" si="54"/>
        <v>30</v>
      </c>
      <c r="F338" s="14">
        <v>24</v>
      </c>
      <c r="G338" s="14">
        <f t="shared" si="48"/>
        <v>6</v>
      </c>
      <c r="H338" s="15">
        <f t="shared" si="49"/>
        <v>2000</v>
      </c>
      <c r="I338" s="15">
        <f t="shared" si="50"/>
        <v>48000</v>
      </c>
      <c r="J338" s="14">
        <f t="shared" si="51"/>
        <v>5760</v>
      </c>
      <c r="K338" s="15">
        <f t="shared" si="52"/>
        <v>360</v>
      </c>
      <c r="L338" s="15">
        <f t="shared" si="53"/>
        <v>41880</v>
      </c>
      <c r="M338" s="14"/>
      <c r="N338" s="14"/>
    </row>
    <row r="339" ht="14.25">
      <c r="A339" s="14">
        <v>337</v>
      </c>
      <c r="B339" s="14" t="str">
        <f t="shared" si="47"/>
        <v>Empl_337</v>
      </c>
      <c r="C339" s="14" t="s">
        <v>12</v>
      </c>
      <c r="D339" s="14">
        <v>20000</v>
      </c>
      <c r="E339" s="14">
        <f t="shared" ca="1" si="54"/>
        <v>30</v>
      </c>
      <c r="F339" s="14">
        <v>25</v>
      </c>
      <c r="G339" s="14">
        <f t="shared" si="48"/>
        <v>5</v>
      </c>
      <c r="H339" s="15">
        <f t="shared" si="49"/>
        <v>800</v>
      </c>
      <c r="I339" s="15">
        <f t="shared" si="50"/>
        <v>20000</v>
      </c>
      <c r="J339" s="14">
        <f t="shared" si="51"/>
        <v>2400</v>
      </c>
      <c r="K339" s="15">
        <f t="shared" si="52"/>
        <v>150</v>
      </c>
      <c r="L339" s="15">
        <f t="shared" si="53"/>
        <v>17450</v>
      </c>
      <c r="M339" s="14"/>
      <c r="N339" s="14"/>
    </row>
    <row r="340" ht="14.25">
      <c r="A340" s="14">
        <v>338</v>
      </c>
      <c r="B340" s="14" t="str">
        <f t="shared" si="47"/>
        <v>Empl_338</v>
      </c>
      <c r="C340" s="14" t="s">
        <v>10</v>
      </c>
      <c r="D340" s="14">
        <v>52000</v>
      </c>
      <c r="E340" s="14">
        <f t="shared" ca="1" si="54"/>
        <v>30</v>
      </c>
      <c r="F340" s="14">
        <v>29</v>
      </c>
      <c r="G340" s="14">
        <f t="shared" si="48"/>
        <v>1</v>
      </c>
      <c r="H340" s="15">
        <f t="shared" si="49"/>
        <v>1793.1034482758621</v>
      </c>
      <c r="I340" s="15">
        <f t="shared" si="50"/>
        <v>52000</v>
      </c>
      <c r="J340" s="14">
        <f t="shared" si="51"/>
        <v>6240</v>
      </c>
      <c r="K340" s="15">
        <f t="shared" si="52"/>
        <v>390</v>
      </c>
      <c r="L340" s="15">
        <f t="shared" si="53"/>
        <v>45370</v>
      </c>
      <c r="M340" s="14"/>
      <c r="N340" s="14"/>
    </row>
    <row r="341" ht="14.25">
      <c r="A341" s="14">
        <v>339</v>
      </c>
      <c r="B341" s="14" t="str">
        <f t="shared" si="47"/>
        <v>Empl_339</v>
      </c>
      <c r="C341" s="14" t="s">
        <v>13</v>
      </c>
      <c r="D341" s="14">
        <v>15000</v>
      </c>
      <c r="E341" s="14">
        <f t="shared" ca="1" si="54"/>
        <v>30</v>
      </c>
      <c r="F341" s="14">
        <v>25</v>
      </c>
      <c r="G341" s="14">
        <f t="shared" si="48"/>
        <v>5</v>
      </c>
      <c r="H341" s="15">
        <f t="shared" si="49"/>
        <v>600</v>
      </c>
      <c r="I341" s="15">
        <f t="shared" si="50"/>
        <v>15000</v>
      </c>
      <c r="J341" s="14">
        <f t="shared" si="51"/>
        <v>1800</v>
      </c>
      <c r="K341" s="15">
        <f t="shared" si="52"/>
        <v>112.5</v>
      </c>
      <c r="L341" s="15">
        <f t="shared" si="53"/>
        <v>13087.5</v>
      </c>
      <c r="M341" s="14"/>
      <c r="N341" s="14"/>
    </row>
    <row r="342" ht="14.25">
      <c r="A342" s="14">
        <v>340</v>
      </c>
      <c r="B342" s="14" t="str">
        <f t="shared" si="47"/>
        <v>Empl_340</v>
      </c>
      <c r="C342" s="14" t="s">
        <v>9</v>
      </c>
      <c r="D342" s="14">
        <v>21000</v>
      </c>
      <c r="E342" s="14">
        <f t="shared" ca="1" si="54"/>
        <v>30</v>
      </c>
      <c r="F342" s="14">
        <v>22</v>
      </c>
      <c r="G342" s="14">
        <f t="shared" si="48"/>
        <v>8</v>
      </c>
      <c r="H342" s="15">
        <f t="shared" si="49"/>
        <v>954.5454545454545</v>
      </c>
      <c r="I342" s="15">
        <f t="shared" si="50"/>
        <v>21000</v>
      </c>
      <c r="J342" s="14">
        <f t="shared" si="51"/>
        <v>2520</v>
      </c>
      <c r="K342" s="15">
        <f t="shared" si="52"/>
        <v>157.5</v>
      </c>
      <c r="L342" s="15">
        <f t="shared" si="53"/>
        <v>18322.5</v>
      </c>
      <c r="M342" s="14"/>
      <c r="N342" s="14"/>
    </row>
    <row r="343" ht="14.25">
      <c r="A343" s="14">
        <v>341</v>
      </c>
      <c r="B343" s="14" t="str">
        <f t="shared" si="47"/>
        <v>Empl_341</v>
      </c>
      <c r="C343" s="14" t="s">
        <v>11</v>
      </c>
      <c r="D343" s="14">
        <v>15000</v>
      </c>
      <c r="E343" s="14">
        <f t="shared" ca="1" si="54"/>
        <v>30</v>
      </c>
      <c r="F343" s="14">
        <v>21</v>
      </c>
      <c r="G343" s="14">
        <f t="shared" si="48"/>
        <v>9</v>
      </c>
      <c r="H343" s="15">
        <f t="shared" si="49"/>
        <v>714.28571428571433</v>
      </c>
      <c r="I343" s="15">
        <f t="shared" si="50"/>
        <v>15000.000000000002</v>
      </c>
      <c r="J343" s="14">
        <f t="shared" si="51"/>
        <v>1800.0000000000002</v>
      </c>
      <c r="K343" s="15">
        <f t="shared" si="52"/>
        <v>112.50000000000001</v>
      </c>
      <c r="L343" s="15">
        <f t="shared" si="53"/>
        <v>13087.500000000002</v>
      </c>
      <c r="M343" s="14"/>
      <c r="N343" s="14"/>
    </row>
    <row r="344" ht="14.25">
      <c r="A344" s="14">
        <v>342</v>
      </c>
      <c r="B344" s="14" t="str">
        <f t="shared" si="47"/>
        <v>Empl_342</v>
      </c>
      <c r="C344" s="14" t="s">
        <v>8</v>
      </c>
      <c r="D344" s="14">
        <v>31000</v>
      </c>
      <c r="E344" s="14">
        <f t="shared" ca="1" si="54"/>
        <v>30</v>
      </c>
      <c r="F344" s="14">
        <v>20</v>
      </c>
      <c r="G344" s="14">
        <f t="shared" si="48"/>
        <v>10</v>
      </c>
      <c r="H344" s="15">
        <f t="shared" si="49"/>
        <v>1550</v>
      </c>
      <c r="I344" s="15">
        <f t="shared" si="50"/>
        <v>31000</v>
      </c>
      <c r="J344" s="14">
        <f t="shared" si="51"/>
        <v>3720</v>
      </c>
      <c r="K344" s="15">
        <f t="shared" si="52"/>
        <v>232.5</v>
      </c>
      <c r="L344" s="15">
        <f t="shared" si="53"/>
        <v>27047.5</v>
      </c>
      <c r="M344" s="14"/>
      <c r="N344" s="14"/>
    </row>
    <row r="345" ht="14.25">
      <c r="A345" s="14">
        <v>343</v>
      </c>
      <c r="B345" s="14" t="str">
        <f t="shared" si="47"/>
        <v>Empl_343</v>
      </c>
      <c r="C345" s="14" t="s">
        <v>12</v>
      </c>
      <c r="D345" s="14">
        <v>25000</v>
      </c>
      <c r="E345" s="14">
        <f t="shared" ca="1" si="54"/>
        <v>30</v>
      </c>
      <c r="F345" s="14">
        <v>24</v>
      </c>
      <c r="G345" s="14">
        <f t="shared" si="48"/>
        <v>6</v>
      </c>
      <c r="H345" s="15">
        <f t="shared" si="49"/>
        <v>1041.6666666666667</v>
      </c>
      <c r="I345" s="15">
        <f t="shared" si="50"/>
        <v>25000</v>
      </c>
      <c r="J345" s="14">
        <f t="shared" si="51"/>
        <v>3000</v>
      </c>
      <c r="K345" s="15">
        <f t="shared" si="52"/>
        <v>187.5</v>
      </c>
      <c r="L345" s="15">
        <f t="shared" si="53"/>
        <v>21812.5</v>
      </c>
      <c r="M345" s="14"/>
      <c r="N345" s="14"/>
    </row>
    <row r="346" ht="14.25">
      <c r="A346" s="14">
        <v>344</v>
      </c>
      <c r="B346" s="14" t="str">
        <f t="shared" si="47"/>
        <v>Empl_344</v>
      </c>
      <c r="C346" s="14" t="s">
        <v>10</v>
      </c>
      <c r="D346" s="14">
        <v>35000</v>
      </c>
      <c r="E346" s="14">
        <f t="shared" ca="1" si="54"/>
        <v>30</v>
      </c>
      <c r="F346" s="14">
        <v>24</v>
      </c>
      <c r="G346" s="14">
        <f t="shared" si="48"/>
        <v>6</v>
      </c>
      <c r="H346" s="15">
        <f t="shared" si="49"/>
        <v>1458.3333333333333</v>
      </c>
      <c r="I346" s="15">
        <f t="shared" si="50"/>
        <v>35000</v>
      </c>
      <c r="J346" s="14">
        <f t="shared" si="51"/>
        <v>4200</v>
      </c>
      <c r="K346" s="15">
        <f t="shared" si="52"/>
        <v>262.5</v>
      </c>
      <c r="L346" s="15">
        <f t="shared" si="53"/>
        <v>30537.5</v>
      </c>
      <c r="M346" s="14"/>
      <c r="N346" s="14"/>
    </row>
    <row r="347" ht="14.25">
      <c r="A347" s="14">
        <v>345</v>
      </c>
      <c r="B347" s="14" t="str">
        <f t="shared" si="47"/>
        <v>Empl_345</v>
      </c>
      <c r="C347" s="14" t="s">
        <v>13</v>
      </c>
      <c r="D347" s="14">
        <v>54000</v>
      </c>
      <c r="E347" s="14">
        <f t="shared" ca="1" si="54"/>
        <v>30</v>
      </c>
      <c r="F347" s="14">
        <v>25</v>
      </c>
      <c r="G347" s="14">
        <f t="shared" si="48"/>
        <v>5</v>
      </c>
      <c r="H347" s="15">
        <f t="shared" si="49"/>
        <v>2160</v>
      </c>
      <c r="I347" s="15">
        <f t="shared" si="50"/>
        <v>54000</v>
      </c>
      <c r="J347" s="14">
        <f t="shared" si="51"/>
        <v>6480</v>
      </c>
      <c r="K347" s="15">
        <f t="shared" si="52"/>
        <v>405</v>
      </c>
      <c r="L347" s="15">
        <f t="shared" si="53"/>
        <v>47115</v>
      </c>
      <c r="M347" s="14"/>
      <c r="N347" s="14"/>
    </row>
    <row r="348" ht="14.25">
      <c r="A348" s="14">
        <v>346</v>
      </c>
      <c r="B348" s="14" t="str">
        <f t="shared" si="47"/>
        <v>Empl_346</v>
      </c>
      <c r="C348" s="14" t="s">
        <v>9</v>
      </c>
      <c r="D348" s="14">
        <v>45000</v>
      </c>
      <c r="E348" s="14">
        <f t="shared" ca="1" si="54"/>
        <v>30</v>
      </c>
      <c r="F348" s="14">
        <v>25</v>
      </c>
      <c r="G348" s="14">
        <f t="shared" si="48"/>
        <v>5</v>
      </c>
      <c r="H348" s="15">
        <f t="shared" si="49"/>
        <v>1800</v>
      </c>
      <c r="I348" s="15">
        <f t="shared" si="50"/>
        <v>45000</v>
      </c>
      <c r="J348" s="14">
        <f t="shared" si="51"/>
        <v>5400</v>
      </c>
      <c r="K348" s="15">
        <f t="shared" si="52"/>
        <v>337.5</v>
      </c>
      <c r="L348" s="15">
        <f t="shared" si="53"/>
        <v>39262.5</v>
      </c>
      <c r="M348" s="14"/>
      <c r="N348" s="14"/>
    </row>
    <row r="349" ht="14.25">
      <c r="A349" s="14">
        <v>347</v>
      </c>
      <c r="B349" s="14" t="str">
        <f t="shared" si="47"/>
        <v>Empl_347</v>
      </c>
      <c r="C349" s="14" t="s">
        <v>11</v>
      </c>
      <c r="D349" s="14">
        <v>21000</v>
      </c>
      <c r="E349" s="14">
        <f t="shared" ca="1" si="54"/>
        <v>30</v>
      </c>
      <c r="F349" s="14">
        <v>29</v>
      </c>
      <c r="G349" s="14">
        <f t="shared" si="48"/>
        <v>1</v>
      </c>
      <c r="H349" s="15">
        <f t="shared" si="49"/>
        <v>724.13793103448279</v>
      </c>
      <c r="I349" s="15">
        <f t="shared" si="50"/>
        <v>21000</v>
      </c>
      <c r="J349" s="14">
        <f t="shared" si="51"/>
        <v>2520</v>
      </c>
      <c r="K349" s="15">
        <f t="shared" si="52"/>
        <v>157.5</v>
      </c>
      <c r="L349" s="15">
        <f t="shared" si="53"/>
        <v>18322.5</v>
      </c>
      <c r="M349" s="14"/>
      <c r="N349" s="14"/>
    </row>
    <row r="350" ht="14.25">
      <c r="A350" s="14">
        <v>348</v>
      </c>
      <c r="B350" s="14" t="str">
        <f t="shared" si="47"/>
        <v>Empl_348</v>
      </c>
      <c r="C350" s="14" t="s">
        <v>8</v>
      </c>
      <c r="D350" s="14">
        <v>27000</v>
      </c>
      <c r="E350" s="14">
        <f t="shared" ca="1" si="54"/>
        <v>30</v>
      </c>
      <c r="F350" s="14">
        <v>25</v>
      </c>
      <c r="G350" s="14">
        <f t="shared" si="48"/>
        <v>5</v>
      </c>
      <c r="H350" s="15">
        <f t="shared" si="49"/>
        <v>1080</v>
      </c>
      <c r="I350" s="15">
        <f t="shared" si="50"/>
        <v>27000</v>
      </c>
      <c r="J350" s="14">
        <f t="shared" si="51"/>
        <v>3240</v>
      </c>
      <c r="K350" s="15">
        <f t="shared" si="52"/>
        <v>202.5</v>
      </c>
      <c r="L350" s="15">
        <f t="shared" si="53"/>
        <v>23557.5</v>
      </c>
      <c r="M350" s="14"/>
      <c r="N350" s="14"/>
    </row>
    <row r="351" ht="14.25">
      <c r="A351" s="14">
        <v>349</v>
      </c>
      <c r="B351" s="14" t="str">
        <f t="shared" si="47"/>
        <v>Empl_349</v>
      </c>
      <c r="C351" s="14" t="s">
        <v>12</v>
      </c>
      <c r="D351" s="14">
        <v>40000</v>
      </c>
      <c r="E351" s="14">
        <f t="shared" ca="1" si="54"/>
        <v>30</v>
      </c>
      <c r="F351" s="14">
        <v>26</v>
      </c>
      <c r="G351" s="14">
        <f t="shared" si="48"/>
        <v>4</v>
      </c>
      <c r="H351" s="15">
        <f t="shared" si="49"/>
        <v>1538.4615384615386</v>
      </c>
      <c r="I351" s="15">
        <f t="shared" si="50"/>
        <v>40000</v>
      </c>
      <c r="J351" s="14">
        <f t="shared" si="51"/>
        <v>4800</v>
      </c>
      <c r="K351" s="15">
        <f t="shared" si="52"/>
        <v>300</v>
      </c>
      <c r="L351" s="15">
        <f t="shared" si="53"/>
        <v>34900</v>
      </c>
      <c r="M351" s="14"/>
      <c r="N351" s="14"/>
    </row>
    <row r="352" ht="14.25">
      <c r="A352" s="14">
        <v>350</v>
      </c>
      <c r="B352" s="14" t="str">
        <f t="shared" si="47"/>
        <v>Empl_350</v>
      </c>
      <c r="C352" s="14" t="s">
        <v>10</v>
      </c>
      <c r="D352" s="14">
        <v>39000</v>
      </c>
      <c r="E352" s="14">
        <f t="shared" ca="1" si="54"/>
        <v>30</v>
      </c>
      <c r="F352" s="14">
        <v>24</v>
      </c>
      <c r="G352" s="14">
        <f t="shared" si="48"/>
        <v>6</v>
      </c>
      <c r="H352" s="15">
        <f t="shared" si="49"/>
        <v>1625</v>
      </c>
      <c r="I352" s="15">
        <f t="shared" si="50"/>
        <v>39000</v>
      </c>
      <c r="J352" s="14">
        <f t="shared" si="51"/>
        <v>4680</v>
      </c>
      <c r="K352" s="15">
        <f t="shared" si="52"/>
        <v>292.5</v>
      </c>
      <c r="L352" s="15">
        <f t="shared" si="53"/>
        <v>34027.5</v>
      </c>
      <c r="M352" s="14"/>
      <c r="N352" s="14"/>
    </row>
    <row r="353" ht="14.25">
      <c r="A353" s="14">
        <v>351</v>
      </c>
      <c r="B353" s="14" t="str">
        <f t="shared" si="47"/>
        <v>Empl_351</v>
      </c>
      <c r="C353" s="14" t="s">
        <v>13</v>
      </c>
      <c r="D353" s="14">
        <v>60000</v>
      </c>
      <c r="E353" s="14">
        <f t="shared" ca="1" si="54"/>
        <v>30</v>
      </c>
      <c r="F353" s="14">
        <v>29</v>
      </c>
      <c r="G353" s="14">
        <f t="shared" si="48"/>
        <v>1</v>
      </c>
      <c r="H353" s="15">
        <f t="shared" si="49"/>
        <v>2068.9655172413795</v>
      </c>
      <c r="I353" s="15">
        <f t="shared" si="50"/>
        <v>60000.000000000007</v>
      </c>
      <c r="J353" s="14">
        <f t="shared" si="51"/>
        <v>7200.0000000000009</v>
      </c>
      <c r="K353" s="15">
        <f t="shared" si="52"/>
        <v>450.00000000000006</v>
      </c>
      <c r="L353" s="15">
        <f t="shared" si="53"/>
        <v>52350.000000000007</v>
      </c>
      <c r="M353" s="14"/>
      <c r="N353" s="14"/>
    </row>
    <row r="354" ht="14.25">
      <c r="A354" s="14">
        <v>352</v>
      </c>
      <c r="B354" s="14" t="str">
        <f t="shared" si="47"/>
        <v>Empl_352</v>
      </c>
      <c r="C354" s="14" t="s">
        <v>9</v>
      </c>
      <c r="D354" s="14">
        <v>31000</v>
      </c>
      <c r="E354" s="14">
        <f t="shared" ca="1" si="54"/>
        <v>30</v>
      </c>
      <c r="F354" s="14">
        <v>20</v>
      </c>
      <c r="G354" s="14">
        <f t="shared" si="48"/>
        <v>10</v>
      </c>
      <c r="H354" s="15">
        <f t="shared" si="49"/>
        <v>1550</v>
      </c>
      <c r="I354" s="15">
        <f t="shared" si="50"/>
        <v>31000</v>
      </c>
      <c r="J354" s="14">
        <f t="shared" si="51"/>
        <v>3720</v>
      </c>
      <c r="K354" s="15">
        <f t="shared" si="52"/>
        <v>232.5</v>
      </c>
      <c r="L354" s="15">
        <f t="shared" si="53"/>
        <v>27047.5</v>
      </c>
      <c r="M354" s="14"/>
      <c r="N354" s="14"/>
    </row>
    <row r="355" ht="14.25">
      <c r="A355" s="14">
        <v>353</v>
      </c>
      <c r="B355" s="14" t="str">
        <f t="shared" si="47"/>
        <v>Empl_353</v>
      </c>
      <c r="C355" s="14" t="s">
        <v>11</v>
      </c>
      <c r="D355" s="14">
        <v>24000</v>
      </c>
      <c r="E355" s="14">
        <f t="shared" ca="1" si="54"/>
        <v>30</v>
      </c>
      <c r="F355" s="14">
        <v>29</v>
      </c>
      <c r="G355" s="14">
        <f t="shared" si="48"/>
        <v>1</v>
      </c>
      <c r="H355" s="15">
        <f t="shared" si="49"/>
        <v>827.58620689655174</v>
      </c>
      <c r="I355" s="15">
        <f t="shared" si="50"/>
        <v>24000</v>
      </c>
      <c r="J355" s="14">
        <f t="shared" si="51"/>
        <v>2880</v>
      </c>
      <c r="K355" s="15">
        <f t="shared" si="52"/>
        <v>180</v>
      </c>
      <c r="L355" s="15">
        <f t="shared" si="53"/>
        <v>20940</v>
      </c>
      <c r="M355" s="14"/>
      <c r="N355" s="14"/>
    </row>
    <row r="356" ht="14.25">
      <c r="A356" s="14">
        <v>354</v>
      </c>
      <c r="B356" s="14" t="str">
        <f t="shared" ref="B356:B419" si="55">"Empl_"&amp;A356</f>
        <v>Empl_354</v>
      </c>
      <c r="C356" s="14" t="s">
        <v>8</v>
      </c>
      <c r="D356" s="14">
        <v>17000</v>
      </c>
      <c r="E356" s="14">
        <f t="shared" ca="1" si="54"/>
        <v>30</v>
      </c>
      <c r="F356" s="14">
        <v>24</v>
      </c>
      <c r="G356" s="14">
        <f t="shared" ref="G356:G419" si="56">E356-F356</f>
        <v>6</v>
      </c>
      <c r="H356" s="15">
        <f t="shared" ref="H356:H419" si="57">D356/F356</f>
        <v>708.33333333333337</v>
      </c>
      <c r="I356" s="15">
        <f t="shared" ref="I356:I419" si="58">H356*F356</f>
        <v>17000</v>
      </c>
      <c r="J356" s="14">
        <f t="shared" ref="J356:J419" si="59">I356*12%</f>
        <v>2040</v>
      </c>
      <c r="K356" s="15">
        <f t="shared" ref="K356:K419" si="60">I356*0.75%</f>
        <v>127.5</v>
      </c>
      <c r="L356" s="15">
        <f t="shared" ref="L356:L419" si="61">I356-(J356+K356)</f>
        <v>14832.5</v>
      </c>
      <c r="M356" s="14"/>
      <c r="N356" s="14"/>
    </row>
    <row r="357" ht="14.25">
      <c r="A357" s="14">
        <v>355</v>
      </c>
      <c r="B357" s="14" t="str">
        <f t="shared" si="55"/>
        <v>Empl_355</v>
      </c>
      <c r="C357" s="14" t="s">
        <v>12</v>
      </c>
      <c r="D357" s="14">
        <v>45000</v>
      </c>
      <c r="E357" s="14">
        <f t="shared" ca="1" si="54"/>
        <v>30</v>
      </c>
      <c r="F357" s="14">
        <v>20</v>
      </c>
      <c r="G357" s="14">
        <f t="shared" si="56"/>
        <v>10</v>
      </c>
      <c r="H357" s="15">
        <f t="shared" si="57"/>
        <v>2250</v>
      </c>
      <c r="I357" s="15">
        <f t="shared" si="58"/>
        <v>45000</v>
      </c>
      <c r="J357" s="14">
        <f t="shared" si="59"/>
        <v>5400</v>
      </c>
      <c r="K357" s="15">
        <f t="shared" si="60"/>
        <v>337.5</v>
      </c>
      <c r="L357" s="15">
        <f t="shared" si="61"/>
        <v>39262.5</v>
      </c>
      <c r="M357" s="14"/>
      <c r="N357" s="14"/>
    </row>
    <row r="358" ht="14.25">
      <c r="A358" s="14">
        <v>356</v>
      </c>
      <c r="B358" s="14" t="str">
        <f t="shared" si="55"/>
        <v>Empl_356</v>
      </c>
      <c r="C358" s="14" t="s">
        <v>10</v>
      </c>
      <c r="D358" s="14">
        <v>44000</v>
      </c>
      <c r="E358" s="14">
        <f t="shared" ca="1" si="54"/>
        <v>30</v>
      </c>
      <c r="F358" s="14">
        <v>23</v>
      </c>
      <c r="G358" s="14">
        <f t="shared" si="56"/>
        <v>7</v>
      </c>
      <c r="H358" s="15">
        <f t="shared" si="57"/>
        <v>1913.0434782608695</v>
      </c>
      <c r="I358" s="15">
        <f t="shared" si="58"/>
        <v>44000</v>
      </c>
      <c r="J358" s="14">
        <f t="shared" si="59"/>
        <v>5280</v>
      </c>
      <c r="K358" s="15">
        <f t="shared" si="60"/>
        <v>330</v>
      </c>
      <c r="L358" s="15">
        <f t="shared" si="61"/>
        <v>38390</v>
      </c>
      <c r="M358" s="14"/>
      <c r="N358" s="14"/>
    </row>
    <row r="359" ht="14.25">
      <c r="A359" s="14">
        <v>357</v>
      </c>
      <c r="B359" s="14" t="str">
        <f t="shared" si="55"/>
        <v>Empl_357</v>
      </c>
      <c r="C359" s="14" t="s">
        <v>13</v>
      </c>
      <c r="D359" s="14">
        <v>21000</v>
      </c>
      <c r="E359" s="14">
        <f t="shared" ca="1" si="54"/>
        <v>30</v>
      </c>
      <c r="F359" s="14">
        <v>22</v>
      </c>
      <c r="G359" s="14">
        <f t="shared" si="56"/>
        <v>8</v>
      </c>
      <c r="H359" s="15">
        <f t="shared" si="57"/>
        <v>954.5454545454545</v>
      </c>
      <c r="I359" s="15">
        <f t="shared" si="58"/>
        <v>21000</v>
      </c>
      <c r="J359" s="14">
        <f t="shared" si="59"/>
        <v>2520</v>
      </c>
      <c r="K359" s="15">
        <f t="shared" si="60"/>
        <v>157.5</v>
      </c>
      <c r="L359" s="15">
        <f t="shared" si="61"/>
        <v>18322.5</v>
      </c>
      <c r="M359" s="14"/>
      <c r="N359" s="14"/>
    </row>
    <row r="360" ht="14.25">
      <c r="A360" s="14">
        <v>358</v>
      </c>
      <c r="B360" s="14" t="str">
        <f t="shared" si="55"/>
        <v>Empl_358</v>
      </c>
      <c r="C360" s="14" t="s">
        <v>9</v>
      </c>
      <c r="D360" s="14">
        <v>39000</v>
      </c>
      <c r="E360" s="14">
        <f t="shared" ca="1" si="54"/>
        <v>30</v>
      </c>
      <c r="F360" s="14">
        <v>21</v>
      </c>
      <c r="G360" s="14">
        <f t="shared" si="56"/>
        <v>9</v>
      </c>
      <c r="H360" s="15">
        <f t="shared" si="57"/>
        <v>1857.1428571428571</v>
      </c>
      <c r="I360" s="15">
        <f t="shared" si="58"/>
        <v>39000</v>
      </c>
      <c r="J360" s="14">
        <f t="shared" si="59"/>
        <v>4680</v>
      </c>
      <c r="K360" s="15">
        <f t="shared" si="60"/>
        <v>292.5</v>
      </c>
      <c r="L360" s="15">
        <f t="shared" si="61"/>
        <v>34027.5</v>
      </c>
      <c r="M360" s="14"/>
      <c r="N360" s="14"/>
    </row>
    <row r="361" ht="14.25">
      <c r="A361" s="14">
        <v>359</v>
      </c>
      <c r="B361" s="14" t="str">
        <f t="shared" si="55"/>
        <v>Empl_359</v>
      </c>
      <c r="C361" s="14" t="s">
        <v>11</v>
      </c>
      <c r="D361" s="14">
        <v>56000</v>
      </c>
      <c r="E361" s="14">
        <f t="shared" ca="1" si="54"/>
        <v>30</v>
      </c>
      <c r="F361" s="14">
        <v>27</v>
      </c>
      <c r="G361" s="14">
        <f t="shared" si="56"/>
        <v>3</v>
      </c>
      <c r="H361" s="15">
        <f t="shared" si="57"/>
        <v>2074.0740740740739</v>
      </c>
      <c r="I361" s="15">
        <f t="shared" si="58"/>
        <v>55999.999999999993</v>
      </c>
      <c r="J361" s="14">
        <f t="shared" si="59"/>
        <v>6719.9999999999991</v>
      </c>
      <c r="K361" s="15">
        <f t="shared" si="60"/>
        <v>419.99999999999994</v>
      </c>
      <c r="L361" s="15">
        <f t="shared" si="61"/>
        <v>48859.999999999993</v>
      </c>
      <c r="M361" s="14"/>
      <c r="N361" s="14"/>
    </row>
    <row r="362" ht="14.25">
      <c r="A362" s="14">
        <v>360</v>
      </c>
      <c r="B362" s="14" t="str">
        <f t="shared" si="55"/>
        <v>Empl_360</v>
      </c>
      <c r="C362" s="14" t="s">
        <v>8</v>
      </c>
      <c r="D362" s="14">
        <v>58000</v>
      </c>
      <c r="E362" s="14">
        <f t="shared" ca="1" si="54"/>
        <v>30</v>
      </c>
      <c r="F362" s="14">
        <v>21</v>
      </c>
      <c r="G362" s="14">
        <f t="shared" si="56"/>
        <v>9</v>
      </c>
      <c r="H362" s="15">
        <f t="shared" si="57"/>
        <v>2761.9047619047619</v>
      </c>
      <c r="I362" s="15">
        <f t="shared" si="58"/>
        <v>58000</v>
      </c>
      <c r="J362" s="14">
        <f t="shared" si="59"/>
        <v>6960</v>
      </c>
      <c r="K362" s="15">
        <f t="shared" si="60"/>
        <v>435</v>
      </c>
      <c r="L362" s="15">
        <f t="shared" si="61"/>
        <v>50605</v>
      </c>
      <c r="M362" s="14"/>
      <c r="N362" s="14"/>
    </row>
    <row r="363" ht="14.25">
      <c r="A363" s="14">
        <v>361</v>
      </c>
      <c r="B363" s="14" t="str">
        <f t="shared" si="55"/>
        <v>Empl_361</v>
      </c>
      <c r="C363" s="14" t="s">
        <v>12</v>
      </c>
      <c r="D363" s="14">
        <v>37000</v>
      </c>
      <c r="E363" s="14">
        <f t="shared" ca="1" si="54"/>
        <v>30</v>
      </c>
      <c r="F363" s="14">
        <v>25</v>
      </c>
      <c r="G363" s="14">
        <f t="shared" si="56"/>
        <v>5</v>
      </c>
      <c r="H363" s="15">
        <f t="shared" si="57"/>
        <v>1480</v>
      </c>
      <c r="I363" s="15">
        <f t="shared" si="58"/>
        <v>37000</v>
      </c>
      <c r="J363" s="14">
        <f t="shared" si="59"/>
        <v>4440</v>
      </c>
      <c r="K363" s="15">
        <f t="shared" si="60"/>
        <v>277.5</v>
      </c>
      <c r="L363" s="15">
        <f t="shared" si="61"/>
        <v>32282.5</v>
      </c>
      <c r="M363" s="14"/>
      <c r="N363" s="14"/>
    </row>
    <row r="364" ht="14.25">
      <c r="A364" s="14">
        <v>362</v>
      </c>
      <c r="B364" s="14" t="str">
        <f t="shared" si="55"/>
        <v>Empl_362</v>
      </c>
      <c r="C364" s="14" t="s">
        <v>10</v>
      </c>
      <c r="D364" s="14">
        <v>43000</v>
      </c>
      <c r="E364" s="14">
        <f t="shared" ca="1" si="54"/>
        <v>30</v>
      </c>
      <c r="F364" s="14">
        <v>27</v>
      </c>
      <c r="G364" s="14">
        <f t="shared" si="56"/>
        <v>3</v>
      </c>
      <c r="H364" s="15">
        <f t="shared" si="57"/>
        <v>1592.5925925925926</v>
      </c>
      <c r="I364" s="15">
        <f t="shared" si="58"/>
        <v>43000</v>
      </c>
      <c r="J364" s="14">
        <f t="shared" si="59"/>
        <v>5160</v>
      </c>
      <c r="K364" s="15">
        <f t="shared" si="60"/>
        <v>322.5</v>
      </c>
      <c r="L364" s="15">
        <f t="shared" si="61"/>
        <v>37517.5</v>
      </c>
      <c r="M364" s="14"/>
      <c r="N364" s="14"/>
    </row>
    <row r="365" ht="14.25">
      <c r="A365" s="14">
        <v>363</v>
      </c>
      <c r="B365" s="14" t="str">
        <f t="shared" si="55"/>
        <v>Empl_363</v>
      </c>
      <c r="C365" s="14" t="s">
        <v>13</v>
      </c>
      <c r="D365" s="14">
        <v>34000</v>
      </c>
      <c r="E365" s="14">
        <f t="shared" ca="1" si="54"/>
        <v>30</v>
      </c>
      <c r="F365" s="14">
        <v>29</v>
      </c>
      <c r="G365" s="14">
        <f t="shared" si="56"/>
        <v>1</v>
      </c>
      <c r="H365" s="15">
        <f t="shared" si="57"/>
        <v>1172.4137931034484</v>
      </c>
      <c r="I365" s="15">
        <f t="shared" si="58"/>
        <v>34000</v>
      </c>
      <c r="J365" s="14">
        <f t="shared" si="59"/>
        <v>4080</v>
      </c>
      <c r="K365" s="15">
        <f t="shared" si="60"/>
        <v>255</v>
      </c>
      <c r="L365" s="15">
        <f t="shared" si="61"/>
        <v>29665</v>
      </c>
      <c r="M365" s="14"/>
      <c r="N365" s="14"/>
    </row>
    <row r="366" ht="14.25">
      <c r="A366" s="14">
        <v>364</v>
      </c>
      <c r="B366" s="14" t="str">
        <f t="shared" si="55"/>
        <v>Empl_364</v>
      </c>
      <c r="C366" s="14" t="s">
        <v>9</v>
      </c>
      <c r="D366" s="14">
        <v>54000</v>
      </c>
      <c r="E366" s="14">
        <f t="shared" ca="1" si="54"/>
        <v>30</v>
      </c>
      <c r="F366" s="14">
        <v>21</v>
      </c>
      <c r="G366" s="14">
        <f t="shared" si="56"/>
        <v>9</v>
      </c>
      <c r="H366" s="15">
        <f t="shared" si="57"/>
        <v>2571.4285714285716</v>
      </c>
      <c r="I366" s="15">
        <f t="shared" si="58"/>
        <v>54000</v>
      </c>
      <c r="J366" s="14">
        <f t="shared" si="59"/>
        <v>6480</v>
      </c>
      <c r="K366" s="15">
        <f t="shared" si="60"/>
        <v>405</v>
      </c>
      <c r="L366" s="15">
        <f t="shared" si="61"/>
        <v>47115</v>
      </c>
      <c r="M366" s="14"/>
      <c r="N366" s="14"/>
    </row>
    <row r="367" ht="14.25">
      <c r="A367" s="14">
        <v>365</v>
      </c>
      <c r="B367" s="14" t="str">
        <f t="shared" si="55"/>
        <v>Empl_365</v>
      </c>
      <c r="C367" s="14" t="s">
        <v>11</v>
      </c>
      <c r="D367" s="14">
        <v>28000</v>
      </c>
      <c r="E367" s="14">
        <f t="shared" ca="1" si="54"/>
        <v>30</v>
      </c>
      <c r="F367" s="14">
        <v>28</v>
      </c>
      <c r="G367" s="14">
        <f t="shared" si="56"/>
        <v>2</v>
      </c>
      <c r="H367" s="15">
        <f t="shared" si="57"/>
        <v>1000</v>
      </c>
      <c r="I367" s="15">
        <f t="shared" si="58"/>
        <v>28000</v>
      </c>
      <c r="J367" s="14">
        <f t="shared" si="59"/>
        <v>3360</v>
      </c>
      <c r="K367" s="15">
        <f t="shared" si="60"/>
        <v>210</v>
      </c>
      <c r="L367" s="15">
        <f t="shared" si="61"/>
        <v>24430</v>
      </c>
      <c r="M367" s="14"/>
      <c r="N367" s="14"/>
    </row>
    <row r="368" ht="14.25">
      <c r="A368" s="14">
        <v>366</v>
      </c>
      <c r="B368" s="14" t="str">
        <f t="shared" si="55"/>
        <v>Empl_366</v>
      </c>
      <c r="C368" s="14" t="s">
        <v>8</v>
      </c>
      <c r="D368" s="14">
        <v>39000</v>
      </c>
      <c r="E368" s="14">
        <f t="shared" ca="1" si="54"/>
        <v>30</v>
      </c>
      <c r="F368" s="14">
        <v>23</v>
      </c>
      <c r="G368" s="14">
        <f t="shared" si="56"/>
        <v>7</v>
      </c>
      <c r="H368" s="15">
        <f t="shared" si="57"/>
        <v>1695.6521739130435</v>
      </c>
      <c r="I368" s="15">
        <f t="shared" si="58"/>
        <v>39000</v>
      </c>
      <c r="J368" s="14">
        <f t="shared" si="59"/>
        <v>4680</v>
      </c>
      <c r="K368" s="15">
        <f t="shared" si="60"/>
        <v>292.5</v>
      </c>
      <c r="L368" s="15">
        <f t="shared" si="61"/>
        <v>34027.5</v>
      </c>
      <c r="M368" s="14"/>
      <c r="N368" s="14"/>
    </row>
    <row r="369" ht="14.25">
      <c r="A369" s="14">
        <v>367</v>
      </c>
      <c r="B369" s="14" t="str">
        <f t="shared" si="55"/>
        <v>Empl_367</v>
      </c>
      <c r="C369" s="14" t="s">
        <v>12</v>
      </c>
      <c r="D369" s="14">
        <v>56000</v>
      </c>
      <c r="E369" s="14">
        <f t="shared" ca="1" si="54"/>
        <v>30</v>
      </c>
      <c r="F369" s="14">
        <v>26</v>
      </c>
      <c r="G369" s="14">
        <f t="shared" si="56"/>
        <v>4</v>
      </c>
      <c r="H369" s="15">
        <f t="shared" si="57"/>
        <v>2153.8461538461538</v>
      </c>
      <c r="I369" s="15">
        <f t="shared" si="58"/>
        <v>56000</v>
      </c>
      <c r="J369" s="14">
        <f t="shared" si="59"/>
        <v>6720</v>
      </c>
      <c r="K369" s="15">
        <f t="shared" si="60"/>
        <v>420</v>
      </c>
      <c r="L369" s="15">
        <f t="shared" si="61"/>
        <v>48860</v>
      </c>
      <c r="M369" s="14"/>
      <c r="N369" s="14"/>
    </row>
    <row r="370" ht="14.25">
      <c r="A370" s="14">
        <v>368</v>
      </c>
      <c r="B370" s="14" t="str">
        <f t="shared" si="55"/>
        <v>Empl_368</v>
      </c>
      <c r="C370" s="14" t="s">
        <v>10</v>
      </c>
      <c r="D370" s="14">
        <v>55000</v>
      </c>
      <c r="E370" s="14">
        <f t="shared" ca="1" si="54"/>
        <v>30</v>
      </c>
      <c r="F370" s="14">
        <v>28</v>
      </c>
      <c r="G370" s="14">
        <f t="shared" si="56"/>
        <v>2</v>
      </c>
      <c r="H370" s="15">
        <f t="shared" si="57"/>
        <v>1964.2857142857142</v>
      </c>
      <c r="I370" s="15">
        <f t="shared" si="58"/>
        <v>55000</v>
      </c>
      <c r="J370" s="14">
        <f t="shared" si="59"/>
        <v>6600</v>
      </c>
      <c r="K370" s="15">
        <f t="shared" si="60"/>
        <v>412.5</v>
      </c>
      <c r="L370" s="15">
        <f t="shared" si="61"/>
        <v>47987.5</v>
      </c>
      <c r="M370" s="14"/>
      <c r="N370" s="14"/>
    </row>
    <row r="371" ht="14.25">
      <c r="A371" s="14">
        <v>369</v>
      </c>
      <c r="B371" s="14" t="str">
        <f t="shared" si="55"/>
        <v>Empl_369</v>
      </c>
      <c r="C371" s="14" t="s">
        <v>13</v>
      </c>
      <c r="D371" s="14">
        <v>25000</v>
      </c>
      <c r="E371" s="14">
        <f t="shared" ca="1" si="54"/>
        <v>30</v>
      </c>
      <c r="F371" s="14">
        <v>24</v>
      </c>
      <c r="G371" s="14">
        <f t="shared" si="56"/>
        <v>6</v>
      </c>
      <c r="H371" s="15">
        <f t="shared" si="57"/>
        <v>1041.6666666666667</v>
      </c>
      <c r="I371" s="15">
        <f t="shared" si="58"/>
        <v>25000</v>
      </c>
      <c r="J371" s="14">
        <f t="shared" si="59"/>
        <v>3000</v>
      </c>
      <c r="K371" s="15">
        <f t="shared" si="60"/>
        <v>187.5</v>
      </c>
      <c r="L371" s="15">
        <f t="shared" si="61"/>
        <v>21812.5</v>
      </c>
      <c r="M371" s="14"/>
      <c r="N371" s="14"/>
    </row>
    <row r="372" ht="14.25">
      <c r="A372" s="14">
        <v>370</v>
      </c>
      <c r="B372" s="14" t="str">
        <f t="shared" si="55"/>
        <v>Empl_370</v>
      </c>
      <c r="C372" s="14" t="s">
        <v>9</v>
      </c>
      <c r="D372" s="14">
        <v>42000</v>
      </c>
      <c r="E372" s="14">
        <f t="shared" ca="1" si="54"/>
        <v>30</v>
      </c>
      <c r="F372" s="14">
        <v>27</v>
      </c>
      <c r="G372" s="14">
        <f t="shared" si="56"/>
        <v>3</v>
      </c>
      <c r="H372" s="15">
        <f t="shared" si="57"/>
        <v>1555.5555555555557</v>
      </c>
      <c r="I372" s="15">
        <f t="shared" si="58"/>
        <v>42000</v>
      </c>
      <c r="J372" s="14">
        <f t="shared" si="59"/>
        <v>5040</v>
      </c>
      <c r="K372" s="15">
        <f t="shared" si="60"/>
        <v>315</v>
      </c>
      <c r="L372" s="15">
        <f t="shared" si="61"/>
        <v>36645</v>
      </c>
      <c r="M372" s="14"/>
      <c r="N372" s="14"/>
    </row>
    <row r="373" ht="14.25">
      <c r="A373" s="14">
        <v>371</v>
      </c>
      <c r="B373" s="14" t="str">
        <f t="shared" si="55"/>
        <v>Empl_371</v>
      </c>
      <c r="C373" s="14" t="s">
        <v>11</v>
      </c>
      <c r="D373" s="14">
        <v>40000</v>
      </c>
      <c r="E373" s="14">
        <f t="shared" ca="1" si="54"/>
        <v>30</v>
      </c>
      <c r="F373" s="14">
        <v>22</v>
      </c>
      <c r="G373" s="14">
        <f t="shared" si="56"/>
        <v>8</v>
      </c>
      <c r="H373" s="15">
        <f t="shared" si="57"/>
        <v>1818.1818181818182</v>
      </c>
      <c r="I373" s="15">
        <f t="shared" si="58"/>
        <v>40000</v>
      </c>
      <c r="J373" s="14">
        <f t="shared" si="59"/>
        <v>4800</v>
      </c>
      <c r="K373" s="15">
        <f t="shared" si="60"/>
        <v>300</v>
      </c>
      <c r="L373" s="15">
        <f t="shared" si="61"/>
        <v>34900</v>
      </c>
      <c r="M373" s="14"/>
      <c r="N373" s="14"/>
    </row>
    <row r="374" ht="14.25">
      <c r="A374" s="14">
        <v>372</v>
      </c>
      <c r="B374" s="14" t="str">
        <f t="shared" si="55"/>
        <v>Empl_372</v>
      </c>
      <c r="C374" s="14" t="s">
        <v>8</v>
      </c>
      <c r="D374" s="14">
        <v>28000</v>
      </c>
      <c r="E374" s="14">
        <f t="shared" ca="1" si="54"/>
        <v>30</v>
      </c>
      <c r="F374" s="14">
        <v>25</v>
      </c>
      <c r="G374" s="14">
        <f t="shared" si="56"/>
        <v>5</v>
      </c>
      <c r="H374" s="15">
        <f t="shared" si="57"/>
        <v>1120</v>
      </c>
      <c r="I374" s="15">
        <f t="shared" si="58"/>
        <v>28000</v>
      </c>
      <c r="J374" s="14">
        <f t="shared" si="59"/>
        <v>3360</v>
      </c>
      <c r="K374" s="15">
        <f t="shared" si="60"/>
        <v>210</v>
      </c>
      <c r="L374" s="15">
        <f t="shared" si="61"/>
        <v>24430</v>
      </c>
      <c r="M374" s="14"/>
      <c r="N374" s="14"/>
    </row>
    <row r="375" ht="14.25">
      <c r="A375" s="14">
        <v>373</v>
      </c>
      <c r="B375" s="14" t="str">
        <f t="shared" si="55"/>
        <v>Empl_373</v>
      </c>
      <c r="C375" s="14" t="s">
        <v>12</v>
      </c>
      <c r="D375" s="14">
        <v>21000</v>
      </c>
      <c r="E375" s="14">
        <f t="shared" ca="1" si="54"/>
        <v>30</v>
      </c>
      <c r="F375" s="14">
        <v>29</v>
      </c>
      <c r="G375" s="14">
        <f t="shared" si="56"/>
        <v>1</v>
      </c>
      <c r="H375" s="15">
        <f t="shared" si="57"/>
        <v>724.13793103448279</v>
      </c>
      <c r="I375" s="15">
        <f t="shared" si="58"/>
        <v>21000</v>
      </c>
      <c r="J375" s="14">
        <f t="shared" si="59"/>
        <v>2520</v>
      </c>
      <c r="K375" s="15">
        <f t="shared" si="60"/>
        <v>157.5</v>
      </c>
      <c r="L375" s="15">
        <f t="shared" si="61"/>
        <v>18322.5</v>
      </c>
      <c r="M375" s="14"/>
      <c r="N375" s="14"/>
    </row>
    <row r="376" ht="14.25">
      <c r="A376" s="14">
        <v>374</v>
      </c>
      <c r="B376" s="14" t="str">
        <f t="shared" si="55"/>
        <v>Empl_374</v>
      </c>
      <c r="C376" s="14" t="s">
        <v>10</v>
      </c>
      <c r="D376" s="14">
        <v>56000</v>
      </c>
      <c r="E376" s="14">
        <f t="shared" ca="1" si="54"/>
        <v>30</v>
      </c>
      <c r="F376" s="14">
        <v>27</v>
      </c>
      <c r="G376" s="14">
        <f t="shared" si="56"/>
        <v>3</v>
      </c>
      <c r="H376" s="15">
        <f t="shared" si="57"/>
        <v>2074.0740740740739</v>
      </c>
      <c r="I376" s="15">
        <f t="shared" si="58"/>
        <v>55999.999999999993</v>
      </c>
      <c r="J376" s="14">
        <f t="shared" si="59"/>
        <v>6719.9999999999991</v>
      </c>
      <c r="K376" s="15">
        <f t="shared" si="60"/>
        <v>419.99999999999994</v>
      </c>
      <c r="L376" s="15">
        <f t="shared" si="61"/>
        <v>48859.999999999993</v>
      </c>
      <c r="M376" s="14"/>
      <c r="N376" s="14"/>
    </row>
    <row r="377" ht="14.25">
      <c r="A377" s="14">
        <v>375</v>
      </c>
      <c r="B377" s="14" t="str">
        <f t="shared" si="55"/>
        <v>Empl_375</v>
      </c>
      <c r="C377" s="14" t="s">
        <v>13</v>
      </c>
      <c r="D377" s="14">
        <v>15000</v>
      </c>
      <c r="E377" s="14">
        <f t="shared" ca="1" si="54"/>
        <v>30</v>
      </c>
      <c r="F377" s="14">
        <v>27</v>
      </c>
      <c r="G377" s="14">
        <f t="shared" si="56"/>
        <v>3</v>
      </c>
      <c r="H377" s="15">
        <f t="shared" si="57"/>
        <v>555.55555555555554</v>
      </c>
      <c r="I377" s="15">
        <f t="shared" si="58"/>
        <v>15000</v>
      </c>
      <c r="J377" s="14">
        <f t="shared" si="59"/>
        <v>1800</v>
      </c>
      <c r="K377" s="15">
        <f t="shared" si="60"/>
        <v>112.5</v>
      </c>
      <c r="L377" s="15">
        <f t="shared" si="61"/>
        <v>13087.5</v>
      </c>
      <c r="M377" s="14"/>
      <c r="N377" s="14"/>
    </row>
    <row r="378" ht="14.25">
      <c r="A378" s="14">
        <v>376</v>
      </c>
      <c r="B378" s="14" t="str">
        <f t="shared" si="55"/>
        <v>Empl_376</v>
      </c>
      <c r="C378" s="14" t="s">
        <v>9</v>
      </c>
      <c r="D378" s="14">
        <v>52000</v>
      </c>
      <c r="E378" s="14">
        <f t="shared" ca="1" si="54"/>
        <v>30</v>
      </c>
      <c r="F378" s="14">
        <v>21</v>
      </c>
      <c r="G378" s="14">
        <f t="shared" si="56"/>
        <v>9</v>
      </c>
      <c r="H378" s="15">
        <f t="shared" si="57"/>
        <v>2476.1904761904761</v>
      </c>
      <c r="I378" s="15">
        <f t="shared" si="58"/>
        <v>52000</v>
      </c>
      <c r="J378" s="14">
        <f t="shared" si="59"/>
        <v>6240</v>
      </c>
      <c r="K378" s="15">
        <f t="shared" si="60"/>
        <v>390</v>
      </c>
      <c r="L378" s="15">
        <f t="shared" si="61"/>
        <v>45370</v>
      </c>
      <c r="M378" s="14"/>
      <c r="N378" s="14"/>
    </row>
    <row r="379" ht="14.25">
      <c r="A379" s="14">
        <v>377</v>
      </c>
      <c r="B379" s="14" t="str">
        <f t="shared" si="55"/>
        <v>Empl_377</v>
      </c>
      <c r="C379" s="14" t="s">
        <v>11</v>
      </c>
      <c r="D379" s="14">
        <v>32000</v>
      </c>
      <c r="E379" s="14">
        <f t="shared" ca="1" si="54"/>
        <v>30</v>
      </c>
      <c r="F379" s="14">
        <v>30</v>
      </c>
      <c r="G379" s="14">
        <f t="shared" si="56"/>
        <v>0</v>
      </c>
      <c r="H379" s="15">
        <f t="shared" si="57"/>
        <v>1066.6666666666667</v>
      </c>
      <c r="I379" s="15">
        <f t="shared" si="58"/>
        <v>32000.000000000004</v>
      </c>
      <c r="J379" s="14">
        <f t="shared" si="59"/>
        <v>3840.0000000000005</v>
      </c>
      <c r="K379" s="15">
        <f t="shared" si="60"/>
        <v>240.00000000000003</v>
      </c>
      <c r="L379" s="15">
        <f t="shared" si="61"/>
        <v>27920.000000000004</v>
      </c>
      <c r="M379" s="14"/>
      <c r="N379" s="14"/>
    </row>
    <row r="380" ht="14.25">
      <c r="A380" s="14">
        <v>378</v>
      </c>
      <c r="B380" s="14" t="str">
        <f t="shared" si="55"/>
        <v>Empl_378</v>
      </c>
      <c r="C380" s="14" t="s">
        <v>8</v>
      </c>
      <c r="D380" s="14">
        <v>35000</v>
      </c>
      <c r="E380" s="14">
        <f t="shared" ca="1" si="54"/>
        <v>30</v>
      </c>
      <c r="F380" s="14">
        <v>21</v>
      </c>
      <c r="G380" s="14">
        <f t="shared" si="56"/>
        <v>9</v>
      </c>
      <c r="H380" s="15">
        <f t="shared" si="57"/>
        <v>1666.6666666666667</v>
      </c>
      <c r="I380" s="15">
        <f t="shared" si="58"/>
        <v>35000</v>
      </c>
      <c r="J380" s="14">
        <f t="shared" si="59"/>
        <v>4200</v>
      </c>
      <c r="K380" s="15">
        <f t="shared" si="60"/>
        <v>262.5</v>
      </c>
      <c r="L380" s="15">
        <f t="shared" si="61"/>
        <v>30537.5</v>
      </c>
      <c r="M380" s="14"/>
      <c r="N380" s="14"/>
    </row>
    <row r="381" ht="14.25">
      <c r="A381" s="14">
        <v>379</v>
      </c>
      <c r="B381" s="14" t="str">
        <f t="shared" si="55"/>
        <v>Empl_379</v>
      </c>
      <c r="C381" s="14" t="s">
        <v>12</v>
      </c>
      <c r="D381" s="14">
        <v>47000</v>
      </c>
      <c r="E381" s="14">
        <f t="shared" ca="1" si="54"/>
        <v>30</v>
      </c>
      <c r="F381" s="14">
        <v>30</v>
      </c>
      <c r="G381" s="14">
        <f t="shared" si="56"/>
        <v>0</v>
      </c>
      <c r="H381" s="15">
        <f t="shared" si="57"/>
        <v>1566.6666666666667</v>
      </c>
      <c r="I381" s="15">
        <f t="shared" si="58"/>
        <v>47000</v>
      </c>
      <c r="J381" s="14">
        <f t="shared" si="59"/>
        <v>5640</v>
      </c>
      <c r="K381" s="15">
        <f t="shared" si="60"/>
        <v>352.5</v>
      </c>
      <c r="L381" s="15">
        <f t="shared" si="61"/>
        <v>41007.5</v>
      </c>
      <c r="M381" s="14"/>
      <c r="N381" s="14"/>
    </row>
    <row r="382" ht="14.25">
      <c r="A382" s="14">
        <v>380</v>
      </c>
      <c r="B382" s="14" t="str">
        <f t="shared" si="55"/>
        <v>Empl_380</v>
      </c>
      <c r="C382" s="14" t="s">
        <v>10</v>
      </c>
      <c r="D382" s="14">
        <v>21000</v>
      </c>
      <c r="E382" s="14">
        <f t="shared" ca="1" si="54"/>
        <v>30</v>
      </c>
      <c r="F382" s="14">
        <v>25</v>
      </c>
      <c r="G382" s="14">
        <f t="shared" si="56"/>
        <v>5</v>
      </c>
      <c r="H382" s="15">
        <f t="shared" si="57"/>
        <v>840</v>
      </c>
      <c r="I382" s="15">
        <f t="shared" si="58"/>
        <v>21000</v>
      </c>
      <c r="J382" s="14">
        <f t="shared" si="59"/>
        <v>2520</v>
      </c>
      <c r="K382" s="15">
        <f t="shared" si="60"/>
        <v>157.5</v>
      </c>
      <c r="L382" s="15">
        <f t="shared" si="61"/>
        <v>18322.5</v>
      </c>
      <c r="M382" s="14"/>
      <c r="N382" s="14"/>
    </row>
    <row r="383" ht="14.25">
      <c r="A383" s="14">
        <v>381</v>
      </c>
      <c r="B383" s="14" t="str">
        <f t="shared" si="55"/>
        <v>Empl_381</v>
      </c>
      <c r="C383" s="14" t="s">
        <v>13</v>
      </c>
      <c r="D383" s="14">
        <v>24000</v>
      </c>
      <c r="E383" s="14">
        <f t="shared" ca="1" si="54"/>
        <v>30</v>
      </c>
      <c r="F383" s="14">
        <v>20</v>
      </c>
      <c r="G383" s="14">
        <f t="shared" si="56"/>
        <v>10</v>
      </c>
      <c r="H383" s="15">
        <f t="shared" si="57"/>
        <v>1200</v>
      </c>
      <c r="I383" s="15">
        <f t="shared" si="58"/>
        <v>24000</v>
      </c>
      <c r="J383" s="14">
        <f t="shared" si="59"/>
        <v>2880</v>
      </c>
      <c r="K383" s="15">
        <f t="shared" si="60"/>
        <v>180</v>
      </c>
      <c r="L383" s="15">
        <f t="shared" si="61"/>
        <v>20940</v>
      </c>
      <c r="M383" s="14"/>
      <c r="N383" s="14"/>
    </row>
    <row r="384" ht="14.25">
      <c r="A384" s="14">
        <v>382</v>
      </c>
      <c r="B384" s="14" t="str">
        <f t="shared" si="55"/>
        <v>Empl_382</v>
      </c>
      <c r="C384" s="14" t="s">
        <v>9</v>
      </c>
      <c r="D384" s="14">
        <v>44000</v>
      </c>
      <c r="E384" s="14">
        <f t="shared" ca="1" si="54"/>
        <v>30</v>
      </c>
      <c r="F384" s="14">
        <v>21</v>
      </c>
      <c r="G384" s="14">
        <f t="shared" si="56"/>
        <v>9</v>
      </c>
      <c r="H384" s="15">
        <f t="shared" si="57"/>
        <v>2095.2380952380954</v>
      </c>
      <c r="I384" s="15">
        <f t="shared" si="58"/>
        <v>44000</v>
      </c>
      <c r="J384" s="14">
        <f t="shared" si="59"/>
        <v>5280</v>
      </c>
      <c r="K384" s="15">
        <f t="shared" si="60"/>
        <v>330</v>
      </c>
      <c r="L384" s="15">
        <f t="shared" si="61"/>
        <v>38390</v>
      </c>
      <c r="M384" s="14"/>
      <c r="N384" s="14"/>
    </row>
    <row r="385" ht="14.25">
      <c r="A385" s="14">
        <v>383</v>
      </c>
      <c r="B385" s="14" t="str">
        <f t="shared" si="55"/>
        <v>Empl_383</v>
      </c>
      <c r="C385" s="14" t="s">
        <v>11</v>
      </c>
      <c r="D385" s="14">
        <v>53000</v>
      </c>
      <c r="E385" s="14">
        <f t="shared" ca="1" si="54"/>
        <v>30</v>
      </c>
      <c r="F385" s="14">
        <v>24</v>
      </c>
      <c r="G385" s="14">
        <f t="shared" si="56"/>
        <v>6</v>
      </c>
      <c r="H385" s="15">
        <f t="shared" si="57"/>
        <v>2208.3333333333335</v>
      </c>
      <c r="I385" s="15">
        <f t="shared" si="58"/>
        <v>53000</v>
      </c>
      <c r="J385" s="14">
        <f t="shared" si="59"/>
        <v>6360</v>
      </c>
      <c r="K385" s="15">
        <f t="shared" si="60"/>
        <v>397.5</v>
      </c>
      <c r="L385" s="15">
        <f t="shared" si="61"/>
        <v>46242.5</v>
      </c>
      <c r="M385" s="14"/>
      <c r="N385" s="14"/>
    </row>
    <row r="386" ht="14.25">
      <c r="A386" s="14">
        <v>384</v>
      </c>
      <c r="B386" s="14" t="str">
        <f t="shared" si="55"/>
        <v>Empl_384</v>
      </c>
      <c r="C386" s="14" t="s">
        <v>8</v>
      </c>
      <c r="D386" s="14">
        <v>26000</v>
      </c>
      <c r="E386" s="14">
        <f t="shared" ca="1" si="54"/>
        <v>30</v>
      </c>
      <c r="F386" s="14">
        <v>24</v>
      </c>
      <c r="G386" s="14">
        <f t="shared" si="56"/>
        <v>6</v>
      </c>
      <c r="H386" s="15">
        <f t="shared" si="57"/>
        <v>1083.3333333333333</v>
      </c>
      <c r="I386" s="15">
        <f t="shared" si="58"/>
        <v>26000</v>
      </c>
      <c r="J386" s="14">
        <f t="shared" si="59"/>
        <v>3120</v>
      </c>
      <c r="K386" s="15">
        <f t="shared" si="60"/>
        <v>195</v>
      </c>
      <c r="L386" s="15">
        <f t="shared" si="61"/>
        <v>22685</v>
      </c>
      <c r="M386" s="14"/>
      <c r="N386" s="14"/>
    </row>
    <row r="387" ht="14.25">
      <c r="A387" s="14">
        <v>385</v>
      </c>
      <c r="B387" s="14" t="str">
        <f t="shared" si="55"/>
        <v>Empl_385</v>
      </c>
      <c r="C387" s="14" t="s">
        <v>12</v>
      </c>
      <c r="D387" s="14">
        <v>42000</v>
      </c>
      <c r="E387" s="14">
        <f t="shared" ref="E387:E450" ca="1" si="62">DAY(EOMONTH(TODAY(),0))</f>
        <v>30</v>
      </c>
      <c r="F387" s="14">
        <v>21</v>
      </c>
      <c r="G387" s="14">
        <f t="shared" si="56"/>
        <v>9</v>
      </c>
      <c r="H387" s="15">
        <f t="shared" si="57"/>
        <v>2000</v>
      </c>
      <c r="I387" s="15">
        <f t="shared" si="58"/>
        <v>42000</v>
      </c>
      <c r="J387" s="14">
        <f t="shared" si="59"/>
        <v>5040</v>
      </c>
      <c r="K387" s="15">
        <f t="shared" si="60"/>
        <v>315</v>
      </c>
      <c r="L387" s="15">
        <f t="shared" si="61"/>
        <v>36645</v>
      </c>
      <c r="M387" s="14"/>
      <c r="N387" s="14"/>
    </row>
    <row r="388" ht="14.25">
      <c r="A388" s="14">
        <v>386</v>
      </c>
      <c r="B388" s="14" t="str">
        <f t="shared" si="55"/>
        <v>Empl_386</v>
      </c>
      <c r="C388" s="14" t="s">
        <v>10</v>
      </c>
      <c r="D388" s="14">
        <v>22000</v>
      </c>
      <c r="E388" s="14">
        <f t="shared" ca="1" si="62"/>
        <v>30</v>
      </c>
      <c r="F388" s="14">
        <v>21</v>
      </c>
      <c r="G388" s="14">
        <f t="shared" si="56"/>
        <v>9</v>
      </c>
      <c r="H388" s="15">
        <f t="shared" si="57"/>
        <v>1047.6190476190477</v>
      </c>
      <c r="I388" s="15">
        <f t="shared" si="58"/>
        <v>22000</v>
      </c>
      <c r="J388" s="14">
        <f t="shared" si="59"/>
        <v>2640</v>
      </c>
      <c r="K388" s="15">
        <f t="shared" si="60"/>
        <v>165</v>
      </c>
      <c r="L388" s="15">
        <f t="shared" si="61"/>
        <v>19195</v>
      </c>
      <c r="M388" s="14"/>
      <c r="N388" s="14"/>
    </row>
    <row r="389" ht="14.25">
      <c r="A389" s="14">
        <v>387</v>
      </c>
      <c r="B389" s="14" t="str">
        <f t="shared" si="55"/>
        <v>Empl_387</v>
      </c>
      <c r="C389" s="14" t="s">
        <v>13</v>
      </c>
      <c r="D389" s="14">
        <v>22000</v>
      </c>
      <c r="E389" s="14">
        <f t="shared" ca="1" si="62"/>
        <v>30</v>
      </c>
      <c r="F389" s="14">
        <v>20</v>
      </c>
      <c r="G389" s="14">
        <f t="shared" si="56"/>
        <v>10</v>
      </c>
      <c r="H389" s="15">
        <f t="shared" si="57"/>
        <v>1100</v>
      </c>
      <c r="I389" s="15">
        <f t="shared" si="58"/>
        <v>22000</v>
      </c>
      <c r="J389" s="14">
        <f t="shared" si="59"/>
        <v>2640</v>
      </c>
      <c r="K389" s="15">
        <f t="shared" si="60"/>
        <v>165</v>
      </c>
      <c r="L389" s="15">
        <f t="shared" si="61"/>
        <v>19195</v>
      </c>
      <c r="M389" s="14"/>
      <c r="N389" s="14"/>
    </row>
    <row r="390" ht="14.25">
      <c r="A390" s="14">
        <v>388</v>
      </c>
      <c r="B390" s="14" t="str">
        <f t="shared" si="55"/>
        <v>Empl_388</v>
      </c>
      <c r="C390" s="14" t="s">
        <v>9</v>
      </c>
      <c r="D390" s="14">
        <v>56000</v>
      </c>
      <c r="E390" s="14">
        <f t="shared" ca="1" si="62"/>
        <v>30</v>
      </c>
      <c r="F390" s="14">
        <v>29</v>
      </c>
      <c r="G390" s="14">
        <f t="shared" si="56"/>
        <v>1</v>
      </c>
      <c r="H390" s="15">
        <f t="shared" si="57"/>
        <v>1931.0344827586207</v>
      </c>
      <c r="I390" s="15">
        <f t="shared" si="58"/>
        <v>56000</v>
      </c>
      <c r="J390" s="14">
        <f t="shared" si="59"/>
        <v>6720</v>
      </c>
      <c r="K390" s="15">
        <f t="shared" si="60"/>
        <v>420</v>
      </c>
      <c r="L390" s="15">
        <f t="shared" si="61"/>
        <v>48860</v>
      </c>
      <c r="M390" s="14"/>
      <c r="N390" s="14"/>
    </row>
    <row r="391" ht="14.25">
      <c r="A391" s="14">
        <v>389</v>
      </c>
      <c r="B391" s="14" t="str">
        <f t="shared" si="55"/>
        <v>Empl_389</v>
      </c>
      <c r="C391" s="14" t="s">
        <v>11</v>
      </c>
      <c r="D391" s="14">
        <v>33000</v>
      </c>
      <c r="E391" s="14">
        <f t="shared" ca="1" si="62"/>
        <v>30</v>
      </c>
      <c r="F391" s="14">
        <v>28</v>
      </c>
      <c r="G391" s="14">
        <f t="shared" si="56"/>
        <v>2</v>
      </c>
      <c r="H391" s="15">
        <f t="shared" si="57"/>
        <v>1178.5714285714287</v>
      </c>
      <c r="I391" s="15">
        <f t="shared" si="58"/>
        <v>33000</v>
      </c>
      <c r="J391" s="14">
        <f t="shared" si="59"/>
        <v>3960</v>
      </c>
      <c r="K391" s="15">
        <f t="shared" si="60"/>
        <v>247.5</v>
      </c>
      <c r="L391" s="15">
        <f t="shared" si="61"/>
        <v>28792.5</v>
      </c>
      <c r="M391" s="14"/>
      <c r="N391" s="14"/>
    </row>
    <row r="392" ht="14.25">
      <c r="A392" s="14">
        <v>390</v>
      </c>
      <c r="B392" s="14" t="str">
        <f t="shared" si="55"/>
        <v>Empl_390</v>
      </c>
      <c r="C392" s="14" t="s">
        <v>8</v>
      </c>
      <c r="D392" s="14">
        <v>39000</v>
      </c>
      <c r="E392" s="14">
        <f t="shared" ca="1" si="62"/>
        <v>30</v>
      </c>
      <c r="F392" s="14">
        <v>23</v>
      </c>
      <c r="G392" s="14">
        <f t="shared" si="56"/>
        <v>7</v>
      </c>
      <c r="H392" s="15">
        <f t="shared" si="57"/>
        <v>1695.6521739130435</v>
      </c>
      <c r="I392" s="15">
        <f t="shared" si="58"/>
        <v>39000</v>
      </c>
      <c r="J392" s="14">
        <f t="shared" si="59"/>
        <v>4680</v>
      </c>
      <c r="K392" s="15">
        <f t="shared" si="60"/>
        <v>292.5</v>
      </c>
      <c r="L392" s="15">
        <f t="shared" si="61"/>
        <v>34027.5</v>
      </c>
      <c r="M392" s="14"/>
      <c r="N392" s="14"/>
    </row>
    <row r="393" ht="14.25">
      <c r="A393" s="14">
        <v>391</v>
      </c>
      <c r="B393" s="14" t="str">
        <f t="shared" si="55"/>
        <v>Empl_391</v>
      </c>
      <c r="C393" s="14" t="s">
        <v>12</v>
      </c>
      <c r="D393" s="14">
        <v>45000</v>
      </c>
      <c r="E393" s="14">
        <f t="shared" ca="1" si="62"/>
        <v>30</v>
      </c>
      <c r="F393" s="14">
        <v>28</v>
      </c>
      <c r="G393" s="14">
        <f t="shared" si="56"/>
        <v>2</v>
      </c>
      <c r="H393" s="15">
        <f t="shared" si="57"/>
        <v>1607.1428571428571</v>
      </c>
      <c r="I393" s="15">
        <f t="shared" si="58"/>
        <v>45000</v>
      </c>
      <c r="J393" s="14">
        <f t="shared" si="59"/>
        <v>5400</v>
      </c>
      <c r="K393" s="15">
        <f t="shared" si="60"/>
        <v>337.5</v>
      </c>
      <c r="L393" s="15">
        <f t="shared" si="61"/>
        <v>39262.5</v>
      </c>
      <c r="M393" s="14"/>
      <c r="N393" s="14"/>
    </row>
    <row r="394" ht="14.25">
      <c r="A394" s="14">
        <v>392</v>
      </c>
      <c r="B394" s="14" t="str">
        <f t="shared" si="55"/>
        <v>Empl_392</v>
      </c>
      <c r="C394" s="14" t="s">
        <v>10</v>
      </c>
      <c r="D394" s="14">
        <v>33000</v>
      </c>
      <c r="E394" s="14">
        <f t="shared" ca="1" si="62"/>
        <v>30</v>
      </c>
      <c r="F394" s="14">
        <v>29</v>
      </c>
      <c r="G394" s="14">
        <f t="shared" si="56"/>
        <v>1</v>
      </c>
      <c r="H394" s="15">
        <f t="shared" si="57"/>
        <v>1137.9310344827586</v>
      </c>
      <c r="I394" s="15">
        <f t="shared" si="58"/>
        <v>33000</v>
      </c>
      <c r="J394" s="14">
        <f t="shared" si="59"/>
        <v>3960</v>
      </c>
      <c r="K394" s="15">
        <f t="shared" si="60"/>
        <v>247.5</v>
      </c>
      <c r="L394" s="15">
        <f t="shared" si="61"/>
        <v>28792.5</v>
      </c>
      <c r="M394" s="14"/>
      <c r="N394" s="14"/>
    </row>
    <row r="395" ht="14.25">
      <c r="A395" s="14">
        <v>393</v>
      </c>
      <c r="B395" s="14" t="str">
        <f t="shared" si="55"/>
        <v>Empl_393</v>
      </c>
      <c r="C395" s="14" t="s">
        <v>13</v>
      </c>
      <c r="D395" s="14">
        <v>46000</v>
      </c>
      <c r="E395" s="14">
        <f t="shared" ca="1" si="62"/>
        <v>30</v>
      </c>
      <c r="F395" s="14">
        <v>28</v>
      </c>
      <c r="G395" s="14">
        <f t="shared" si="56"/>
        <v>2</v>
      </c>
      <c r="H395" s="15">
        <f t="shared" si="57"/>
        <v>1642.8571428571429</v>
      </c>
      <c r="I395" s="15">
        <f t="shared" si="58"/>
        <v>46000</v>
      </c>
      <c r="J395" s="14">
        <f t="shared" si="59"/>
        <v>5520</v>
      </c>
      <c r="K395" s="15">
        <f t="shared" si="60"/>
        <v>345</v>
      </c>
      <c r="L395" s="15">
        <f t="shared" si="61"/>
        <v>40135</v>
      </c>
      <c r="M395" s="14"/>
      <c r="N395" s="14"/>
    </row>
    <row r="396" ht="14.25">
      <c r="A396" s="14">
        <v>394</v>
      </c>
      <c r="B396" s="14" t="str">
        <f t="shared" si="55"/>
        <v>Empl_394</v>
      </c>
      <c r="C396" s="14" t="s">
        <v>9</v>
      </c>
      <c r="D396" s="14">
        <v>55000</v>
      </c>
      <c r="E396" s="14">
        <f t="shared" ca="1" si="62"/>
        <v>30</v>
      </c>
      <c r="F396" s="14">
        <v>28</v>
      </c>
      <c r="G396" s="14">
        <f t="shared" si="56"/>
        <v>2</v>
      </c>
      <c r="H396" s="15">
        <f t="shared" si="57"/>
        <v>1964.2857142857142</v>
      </c>
      <c r="I396" s="15">
        <f t="shared" si="58"/>
        <v>55000</v>
      </c>
      <c r="J396" s="14">
        <f t="shared" si="59"/>
        <v>6600</v>
      </c>
      <c r="K396" s="15">
        <f t="shared" si="60"/>
        <v>412.5</v>
      </c>
      <c r="L396" s="15">
        <f t="shared" si="61"/>
        <v>47987.5</v>
      </c>
      <c r="M396" s="14"/>
      <c r="N396" s="14"/>
    </row>
    <row r="397" ht="14.25">
      <c r="A397" s="14">
        <v>395</v>
      </c>
      <c r="B397" s="14" t="str">
        <f t="shared" si="55"/>
        <v>Empl_395</v>
      </c>
      <c r="C397" s="14" t="s">
        <v>11</v>
      </c>
      <c r="D397" s="14">
        <v>41000</v>
      </c>
      <c r="E397" s="14">
        <f t="shared" ca="1" si="62"/>
        <v>30</v>
      </c>
      <c r="F397" s="14">
        <v>25</v>
      </c>
      <c r="G397" s="14">
        <f t="shared" si="56"/>
        <v>5</v>
      </c>
      <c r="H397" s="15">
        <f t="shared" si="57"/>
        <v>1640</v>
      </c>
      <c r="I397" s="15">
        <f t="shared" si="58"/>
        <v>41000</v>
      </c>
      <c r="J397" s="14">
        <f t="shared" si="59"/>
        <v>4920</v>
      </c>
      <c r="K397" s="15">
        <f t="shared" si="60"/>
        <v>307.5</v>
      </c>
      <c r="L397" s="15">
        <f t="shared" si="61"/>
        <v>35772.5</v>
      </c>
      <c r="M397" s="14"/>
      <c r="N397" s="14"/>
    </row>
    <row r="398" ht="14.25">
      <c r="A398" s="14">
        <v>396</v>
      </c>
      <c r="B398" s="14" t="str">
        <f t="shared" si="55"/>
        <v>Empl_396</v>
      </c>
      <c r="C398" s="14" t="s">
        <v>8</v>
      </c>
      <c r="D398" s="14">
        <v>57000</v>
      </c>
      <c r="E398" s="14">
        <f t="shared" ca="1" si="62"/>
        <v>30</v>
      </c>
      <c r="F398" s="14">
        <v>27</v>
      </c>
      <c r="G398" s="14">
        <f t="shared" si="56"/>
        <v>3</v>
      </c>
      <c r="H398" s="15">
        <f t="shared" si="57"/>
        <v>2111.1111111111113</v>
      </c>
      <c r="I398" s="15">
        <f t="shared" si="58"/>
        <v>57000.000000000007</v>
      </c>
      <c r="J398" s="14">
        <f t="shared" si="59"/>
        <v>6840.0000000000009</v>
      </c>
      <c r="K398" s="15">
        <f t="shared" si="60"/>
        <v>427.50000000000006</v>
      </c>
      <c r="L398" s="15">
        <f t="shared" si="61"/>
        <v>49732.500000000007</v>
      </c>
      <c r="M398" s="14"/>
      <c r="N398" s="14"/>
    </row>
    <row r="399" ht="14.25">
      <c r="A399" s="14">
        <v>397</v>
      </c>
      <c r="B399" s="14" t="str">
        <f t="shared" si="55"/>
        <v>Empl_397</v>
      </c>
      <c r="C399" s="14" t="s">
        <v>12</v>
      </c>
      <c r="D399" s="14">
        <v>39000</v>
      </c>
      <c r="E399" s="14">
        <f t="shared" ca="1" si="62"/>
        <v>30</v>
      </c>
      <c r="F399" s="14">
        <v>23</v>
      </c>
      <c r="G399" s="14">
        <f t="shared" si="56"/>
        <v>7</v>
      </c>
      <c r="H399" s="15">
        <f t="shared" si="57"/>
        <v>1695.6521739130435</v>
      </c>
      <c r="I399" s="15">
        <f t="shared" si="58"/>
        <v>39000</v>
      </c>
      <c r="J399" s="14">
        <f t="shared" si="59"/>
        <v>4680</v>
      </c>
      <c r="K399" s="15">
        <f t="shared" si="60"/>
        <v>292.5</v>
      </c>
      <c r="L399" s="15">
        <f t="shared" si="61"/>
        <v>34027.5</v>
      </c>
      <c r="M399" s="14"/>
      <c r="N399" s="14"/>
    </row>
    <row r="400" ht="14.25">
      <c r="A400" s="14">
        <v>398</v>
      </c>
      <c r="B400" s="14" t="str">
        <f t="shared" si="55"/>
        <v>Empl_398</v>
      </c>
      <c r="C400" s="14" t="s">
        <v>10</v>
      </c>
      <c r="D400" s="14">
        <v>23000</v>
      </c>
      <c r="E400" s="14">
        <f t="shared" ca="1" si="62"/>
        <v>30</v>
      </c>
      <c r="F400" s="14">
        <v>24</v>
      </c>
      <c r="G400" s="14">
        <f t="shared" si="56"/>
        <v>6</v>
      </c>
      <c r="H400" s="15">
        <f t="shared" si="57"/>
        <v>958.33333333333337</v>
      </c>
      <c r="I400" s="15">
        <f t="shared" si="58"/>
        <v>23000</v>
      </c>
      <c r="J400" s="14">
        <f t="shared" si="59"/>
        <v>2760</v>
      </c>
      <c r="K400" s="15">
        <f t="shared" si="60"/>
        <v>172.5</v>
      </c>
      <c r="L400" s="15">
        <f t="shared" si="61"/>
        <v>20067.5</v>
      </c>
      <c r="M400" s="14"/>
      <c r="N400" s="14"/>
    </row>
    <row r="401" ht="14.25">
      <c r="A401" s="14">
        <v>399</v>
      </c>
      <c r="B401" s="14" t="str">
        <f t="shared" si="55"/>
        <v>Empl_399</v>
      </c>
      <c r="C401" s="14" t="s">
        <v>13</v>
      </c>
      <c r="D401" s="14">
        <v>45000</v>
      </c>
      <c r="E401" s="14">
        <f t="shared" ca="1" si="62"/>
        <v>30</v>
      </c>
      <c r="F401" s="14">
        <v>29</v>
      </c>
      <c r="G401" s="14">
        <f t="shared" si="56"/>
        <v>1</v>
      </c>
      <c r="H401" s="15">
        <f t="shared" si="57"/>
        <v>1551.7241379310344</v>
      </c>
      <c r="I401" s="15">
        <f t="shared" si="58"/>
        <v>45000</v>
      </c>
      <c r="J401" s="14">
        <f t="shared" si="59"/>
        <v>5400</v>
      </c>
      <c r="K401" s="15">
        <f t="shared" si="60"/>
        <v>337.5</v>
      </c>
      <c r="L401" s="15">
        <f t="shared" si="61"/>
        <v>39262.5</v>
      </c>
      <c r="M401" s="14"/>
      <c r="N401" s="14"/>
    </row>
    <row r="402" ht="14.25">
      <c r="A402" s="14">
        <v>400</v>
      </c>
      <c r="B402" s="14" t="str">
        <f t="shared" si="55"/>
        <v>Empl_400</v>
      </c>
      <c r="C402" s="14" t="s">
        <v>9</v>
      </c>
      <c r="D402" s="14">
        <v>31000</v>
      </c>
      <c r="E402" s="14">
        <f t="shared" ca="1" si="62"/>
        <v>30</v>
      </c>
      <c r="F402" s="14">
        <v>26</v>
      </c>
      <c r="G402" s="14">
        <f t="shared" si="56"/>
        <v>4</v>
      </c>
      <c r="H402" s="15">
        <f t="shared" si="57"/>
        <v>1192.3076923076924</v>
      </c>
      <c r="I402" s="15">
        <f t="shared" si="58"/>
        <v>31000</v>
      </c>
      <c r="J402" s="14">
        <f t="shared" si="59"/>
        <v>3720</v>
      </c>
      <c r="K402" s="15">
        <f t="shared" si="60"/>
        <v>232.5</v>
      </c>
      <c r="L402" s="15">
        <f t="shared" si="61"/>
        <v>27047.5</v>
      </c>
      <c r="M402" s="14"/>
      <c r="N402" s="14"/>
    </row>
    <row r="403" ht="14.25">
      <c r="A403" s="14">
        <v>401</v>
      </c>
      <c r="B403" s="14" t="str">
        <f t="shared" si="55"/>
        <v>Empl_401</v>
      </c>
      <c r="C403" s="14" t="s">
        <v>11</v>
      </c>
      <c r="D403" s="14">
        <v>51000</v>
      </c>
      <c r="E403" s="14">
        <f t="shared" ca="1" si="62"/>
        <v>30</v>
      </c>
      <c r="F403" s="14">
        <v>26</v>
      </c>
      <c r="G403" s="14">
        <f t="shared" si="56"/>
        <v>4</v>
      </c>
      <c r="H403" s="15">
        <f t="shared" si="57"/>
        <v>1961.5384615384614</v>
      </c>
      <c r="I403" s="15">
        <f t="shared" si="58"/>
        <v>51000</v>
      </c>
      <c r="J403" s="14">
        <f t="shared" si="59"/>
        <v>6120</v>
      </c>
      <c r="K403" s="15">
        <f t="shared" si="60"/>
        <v>382.5</v>
      </c>
      <c r="L403" s="15">
        <f t="shared" si="61"/>
        <v>44497.5</v>
      </c>
      <c r="M403" s="14"/>
      <c r="N403" s="14"/>
    </row>
    <row r="404" ht="14.25">
      <c r="A404" s="14">
        <v>402</v>
      </c>
      <c r="B404" s="14" t="str">
        <f t="shared" si="55"/>
        <v>Empl_402</v>
      </c>
      <c r="C404" s="14" t="s">
        <v>8</v>
      </c>
      <c r="D404" s="14">
        <v>54000</v>
      </c>
      <c r="E404" s="14">
        <f t="shared" ca="1" si="62"/>
        <v>30</v>
      </c>
      <c r="F404" s="14">
        <v>24</v>
      </c>
      <c r="G404" s="14">
        <f t="shared" si="56"/>
        <v>6</v>
      </c>
      <c r="H404" s="15">
        <f t="shared" si="57"/>
        <v>2250</v>
      </c>
      <c r="I404" s="15">
        <f t="shared" si="58"/>
        <v>54000</v>
      </c>
      <c r="J404" s="14">
        <f t="shared" si="59"/>
        <v>6480</v>
      </c>
      <c r="K404" s="15">
        <f t="shared" si="60"/>
        <v>405</v>
      </c>
      <c r="L404" s="15">
        <f t="shared" si="61"/>
        <v>47115</v>
      </c>
      <c r="M404" s="14"/>
      <c r="N404" s="14"/>
    </row>
    <row r="405" ht="14.25">
      <c r="A405" s="14">
        <v>403</v>
      </c>
      <c r="B405" s="14" t="str">
        <f t="shared" si="55"/>
        <v>Empl_403</v>
      </c>
      <c r="C405" s="14" t="s">
        <v>12</v>
      </c>
      <c r="D405" s="14">
        <v>22000</v>
      </c>
      <c r="E405" s="14">
        <f t="shared" ca="1" si="62"/>
        <v>30</v>
      </c>
      <c r="F405" s="14">
        <v>20</v>
      </c>
      <c r="G405" s="14">
        <f t="shared" si="56"/>
        <v>10</v>
      </c>
      <c r="H405" s="15">
        <f t="shared" si="57"/>
        <v>1100</v>
      </c>
      <c r="I405" s="15">
        <f t="shared" si="58"/>
        <v>22000</v>
      </c>
      <c r="J405" s="14">
        <f t="shared" si="59"/>
        <v>2640</v>
      </c>
      <c r="K405" s="15">
        <f t="shared" si="60"/>
        <v>165</v>
      </c>
      <c r="L405" s="15">
        <f t="shared" si="61"/>
        <v>19195</v>
      </c>
      <c r="M405" s="14"/>
      <c r="N405" s="14"/>
    </row>
    <row r="406" ht="14.25">
      <c r="A406" s="14">
        <v>404</v>
      </c>
      <c r="B406" s="14" t="str">
        <f t="shared" si="55"/>
        <v>Empl_404</v>
      </c>
      <c r="C406" s="14" t="s">
        <v>10</v>
      </c>
      <c r="D406" s="14">
        <v>24000</v>
      </c>
      <c r="E406" s="14">
        <f t="shared" ca="1" si="62"/>
        <v>30</v>
      </c>
      <c r="F406" s="14">
        <v>23</v>
      </c>
      <c r="G406" s="14">
        <f t="shared" si="56"/>
        <v>7</v>
      </c>
      <c r="H406" s="15">
        <f t="shared" si="57"/>
        <v>1043.4782608695652</v>
      </c>
      <c r="I406" s="15">
        <f t="shared" si="58"/>
        <v>24000</v>
      </c>
      <c r="J406" s="14">
        <f t="shared" si="59"/>
        <v>2880</v>
      </c>
      <c r="K406" s="15">
        <f t="shared" si="60"/>
        <v>180</v>
      </c>
      <c r="L406" s="15">
        <f t="shared" si="61"/>
        <v>20940</v>
      </c>
      <c r="M406" s="14"/>
      <c r="N406" s="14"/>
    </row>
    <row r="407" ht="14.25">
      <c r="A407" s="14">
        <v>405</v>
      </c>
      <c r="B407" s="14" t="str">
        <f t="shared" si="55"/>
        <v>Empl_405</v>
      </c>
      <c r="C407" s="14" t="s">
        <v>13</v>
      </c>
      <c r="D407" s="14">
        <v>16000</v>
      </c>
      <c r="E407" s="14">
        <f t="shared" ca="1" si="62"/>
        <v>30</v>
      </c>
      <c r="F407" s="14">
        <v>23</v>
      </c>
      <c r="G407" s="14">
        <f t="shared" si="56"/>
        <v>7</v>
      </c>
      <c r="H407" s="15">
        <f t="shared" si="57"/>
        <v>695.6521739130435</v>
      </c>
      <c r="I407" s="15">
        <f t="shared" si="58"/>
        <v>16000</v>
      </c>
      <c r="J407" s="14">
        <f t="shared" si="59"/>
        <v>1920</v>
      </c>
      <c r="K407" s="15">
        <f t="shared" si="60"/>
        <v>120</v>
      </c>
      <c r="L407" s="15">
        <f t="shared" si="61"/>
        <v>13960</v>
      </c>
      <c r="M407" s="14"/>
      <c r="N407" s="14"/>
    </row>
    <row r="408" ht="14.25">
      <c r="A408" s="14">
        <v>406</v>
      </c>
      <c r="B408" s="14" t="str">
        <f t="shared" si="55"/>
        <v>Empl_406</v>
      </c>
      <c r="C408" s="14" t="s">
        <v>9</v>
      </c>
      <c r="D408" s="14">
        <v>50000</v>
      </c>
      <c r="E408" s="14">
        <f t="shared" ca="1" si="62"/>
        <v>30</v>
      </c>
      <c r="F408" s="14">
        <v>25</v>
      </c>
      <c r="G408" s="14">
        <f t="shared" si="56"/>
        <v>5</v>
      </c>
      <c r="H408" s="15">
        <f t="shared" si="57"/>
        <v>2000</v>
      </c>
      <c r="I408" s="15">
        <f t="shared" si="58"/>
        <v>50000</v>
      </c>
      <c r="J408" s="14">
        <f t="shared" si="59"/>
        <v>6000</v>
      </c>
      <c r="K408" s="15">
        <f t="shared" si="60"/>
        <v>375</v>
      </c>
      <c r="L408" s="15">
        <f t="shared" si="61"/>
        <v>43625</v>
      </c>
      <c r="M408" s="14"/>
      <c r="N408" s="14"/>
    </row>
    <row r="409" ht="14.25">
      <c r="A409" s="14">
        <v>407</v>
      </c>
      <c r="B409" s="14" t="str">
        <f t="shared" si="55"/>
        <v>Empl_407</v>
      </c>
      <c r="C409" s="14" t="s">
        <v>11</v>
      </c>
      <c r="D409" s="14">
        <v>36000</v>
      </c>
      <c r="E409" s="14">
        <f t="shared" ca="1" si="62"/>
        <v>30</v>
      </c>
      <c r="F409" s="14">
        <v>21</v>
      </c>
      <c r="G409" s="14">
        <f t="shared" si="56"/>
        <v>9</v>
      </c>
      <c r="H409" s="15">
        <f t="shared" si="57"/>
        <v>1714.2857142857142</v>
      </c>
      <c r="I409" s="15">
        <f t="shared" si="58"/>
        <v>36000</v>
      </c>
      <c r="J409" s="14">
        <f t="shared" si="59"/>
        <v>4320</v>
      </c>
      <c r="K409" s="15">
        <f t="shared" si="60"/>
        <v>270</v>
      </c>
      <c r="L409" s="15">
        <f t="shared" si="61"/>
        <v>31410</v>
      </c>
      <c r="M409" s="14"/>
      <c r="N409" s="14"/>
    </row>
    <row r="410" ht="14.25">
      <c r="A410" s="14">
        <v>408</v>
      </c>
      <c r="B410" s="14" t="str">
        <f t="shared" si="55"/>
        <v>Empl_408</v>
      </c>
      <c r="C410" s="14" t="s">
        <v>8</v>
      </c>
      <c r="D410" s="14">
        <v>25000</v>
      </c>
      <c r="E410" s="14">
        <f t="shared" ca="1" si="62"/>
        <v>30</v>
      </c>
      <c r="F410" s="14">
        <v>27</v>
      </c>
      <c r="G410" s="14">
        <f t="shared" si="56"/>
        <v>3</v>
      </c>
      <c r="H410" s="15">
        <f t="shared" si="57"/>
        <v>925.92592592592598</v>
      </c>
      <c r="I410" s="15">
        <f t="shared" si="58"/>
        <v>25000</v>
      </c>
      <c r="J410" s="14">
        <f t="shared" si="59"/>
        <v>3000</v>
      </c>
      <c r="K410" s="15">
        <f t="shared" si="60"/>
        <v>187.5</v>
      </c>
      <c r="L410" s="15">
        <f t="shared" si="61"/>
        <v>21812.5</v>
      </c>
      <c r="M410" s="14"/>
      <c r="N410" s="14"/>
    </row>
    <row r="411" ht="14.25">
      <c r="A411" s="14">
        <v>409</v>
      </c>
      <c r="B411" s="14" t="str">
        <f t="shared" si="55"/>
        <v>Empl_409</v>
      </c>
      <c r="C411" s="14" t="s">
        <v>12</v>
      </c>
      <c r="D411" s="14">
        <v>22000</v>
      </c>
      <c r="E411" s="14">
        <f t="shared" ca="1" si="62"/>
        <v>30</v>
      </c>
      <c r="F411" s="14">
        <v>20</v>
      </c>
      <c r="G411" s="14">
        <f t="shared" si="56"/>
        <v>10</v>
      </c>
      <c r="H411" s="15">
        <f t="shared" si="57"/>
        <v>1100</v>
      </c>
      <c r="I411" s="15">
        <f t="shared" si="58"/>
        <v>22000</v>
      </c>
      <c r="J411" s="14">
        <f t="shared" si="59"/>
        <v>2640</v>
      </c>
      <c r="K411" s="15">
        <f t="shared" si="60"/>
        <v>165</v>
      </c>
      <c r="L411" s="15">
        <f t="shared" si="61"/>
        <v>19195</v>
      </c>
      <c r="M411" s="14"/>
      <c r="N411" s="14"/>
    </row>
    <row r="412" ht="14.25">
      <c r="A412" s="14">
        <v>410</v>
      </c>
      <c r="B412" s="14" t="str">
        <f t="shared" si="55"/>
        <v>Empl_410</v>
      </c>
      <c r="C412" s="14" t="s">
        <v>10</v>
      </c>
      <c r="D412" s="14">
        <v>18000</v>
      </c>
      <c r="E412" s="14">
        <f t="shared" ca="1" si="62"/>
        <v>30</v>
      </c>
      <c r="F412" s="14">
        <v>21</v>
      </c>
      <c r="G412" s="14">
        <f t="shared" si="56"/>
        <v>9</v>
      </c>
      <c r="H412" s="15">
        <f t="shared" si="57"/>
        <v>857.14285714285711</v>
      </c>
      <c r="I412" s="15">
        <f t="shared" si="58"/>
        <v>18000</v>
      </c>
      <c r="J412" s="14">
        <f t="shared" si="59"/>
        <v>2160</v>
      </c>
      <c r="K412" s="15">
        <f t="shared" si="60"/>
        <v>135</v>
      </c>
      <c r="L412" s="15">
        <f t="shared" si="61"/>
        <v>15705</v>
      </c>
      <c r="M412" s="14"/>
      <c r="N412" s="14"/>
    </row>
    <row r="413" ht="14.25">
      <c r="A413" s="14">
        <v>411</v>
      </c>
      <c r="B413" s="14" t="str">
        <f t="shared" si="55"/>
        <v>Empl_411</v>
      </c>
      <c r="C413" s="14" t="s">
        <v>13</v>
      </c>
      <c r="D413" s="14">
        <v>28000</v>
      </c>
      <c r="E413" s="14">
        <f t="shared" ca="1" si="62"/>
        <v>30</v>
      </c>
      <c r="F413" s="14">
        <v>20</v>
      </c>
      <c r="G413" s="14">
        <f t="shared" si="56"/>
        <v>10</v>
      </c>
      <c r="H413" s="15">
        <f t="shared" si="57"/>
        <v>1400</v>
      </c>
      <c r="I413" s="15">
        <f t="shared" si="58"/>
        <v>28000</v>
      </c>
      <c r="J413" s="14">
        <f t="shared" si="59"/>
        <v>3360</v>
      </c>
      <c r="K413" s="15">
        <f t="shared" si="60"/>
        <v>210</v>
      </c>
      <c r="L413" s="15">
        <f t="shared" si="61"/>
        <v>24430</v>
      </c>
      <c r="M413" s="14"/>
      <c r="N413" s="14"/>
    </row>
    <row r="414" ht="14.25">
      <c r="A414" s="14">
        <v>412</v>
      </c>
      <c r="B414" s="14" t="str">
        <f t="shared" si="55"/>
        <v>Empl_412</v>
      </c>
      <c r="C414" s="14" t="s">
        <v>9</v>
      </c>
      <c r="D414" s="14">
        <v>39000</v>
      </c>
      <c r="E414" s="14">
        <f t="shared" ca="1" si="62"/>
        <v>30</v>
      </c>
      <c r="F414" s="14">
        <v>23</v>
      </c>
      <c r="G414" s="14">
        <f t="shared" si="56"/>
        <v>7</v>
      </c>
      <c r="H414" s="15">
        <f t="shared" si="57"/>
        <v>1695.6521739130435</v>
      </c>
      <c r="I414" s="15">
        <f t="shared" si="58"/>
        <v>39000</v>
      </c>
      <c r="J414" s="14">
        <f t="shared" si="59"/>
        <v>4680</v>
      </c>
      <c r="K414" s="15">
        <f t="shared" si="60"/>
        <v>292.5</v>
      </c>
      <c r="L414" s="15">
        <f t="shared" si="61"/>
        <v>34027.5</v>
      </c>
      <c r="M414" s="14"/>
      <c r="N414" s="14"/>
    </row>
    <row r="415" ht="14.25">
      <c r="A415" s="14">
        <v>413</v>
      </c>
      <c r="B415" s="14" t="str">
        <f t="shared" si="55"/>
        <v>Empl_413</v>
      </c>
      <c r="C415" s="14" t="s">
        <v>11</v>
      </c>
      <c r="D415" s="14">
        <v>33000</v>
      </c>
      <c r="E415" s="14">
        <f t="shared" ca="1" si="62"/>
        <v>30</v>
      </c>
      <c r="F415" s="14">
        <v>30</v>
      </c>
      <c r="G415" s="14">
        <f t="shared" si="56"/>
        <v>0</v>
      </c>
      <c r="H415" s="15">
        <f t="shared" si="57"/>
        <v>1100</v>
      </c>
      <c r="I415" s="15">
        <f t="shared" si="58"/>
        <v>33000</v>
      </c>
      <c r="J415" s="14">
        <f t="shared" si="59"/>
        <v>3960</v>
      </c>
      <c r="K415" s="15">
        <f t="shared" si="60"/>
        <v>247.5</v>
      </c>
      <c r="L415" s="15">
        <f t="shared" si="61"/>
        <v>28792.5</v>
      </c>
      <c r="M415" s="14"/>
      <c r="N415" s="14"/>
    </row>
    <row r="416" ht="14.25">
      <c r="A416" s="14">
        <v>414</v>
      </c>
      <c r="B416" s="14" t="str">
        <f t="shared" si="55"/>
        <v>Empl_414</v>
      </c>
      <c r="C416" s="14" t="s">
        <v>8</v>
      </c>
      <c r="D416" s="14">
        <v>56000</v>
      </c>
      <c r="E416" s="14">
        <f t="shared" ca="1" si="62"/>
        <v>30</v>
      </c>
      <c r="F416" s="14">
        <v>21</v>
      </c>
      <c r="G416" s="14">
        <f t="shared" si="56"/>
        <v>9</v>
      </c>
      <c r="H416" s="15">
        <f t="shared" si="57"/>
        <v>2666.6666666666665</v>
      </c>
      <c r="I416" s="15">
        <f t="shared" si="58"/>
        <v>56000</v>
      </c>
      <c r="J416" s="14">
        <f t="shared" si="59"/>
        <v>6720</v>
      </c>
      <c r="K416" s="15">
        <f t="shared" si="60"/>
        <v>420</v>
      </c>
      <c r="L416" s="15">
        <f t="shared" si="61"/>
        <v>48860</v>
      </c>
      <c r="M416" s="14"/>
      <c r="N416" s="14"/>
    </row>
    <row r="417" ht="14.25">
      <c r="A417" s="14">
        <v>415</v>
      </c>
      <c r="B417" s="14" t="str">
        <f t="shared" si="55"/>
        <v>Empl_415</v>
      </c>
      <c r="C417" s="14" t="s">
        <v>12</v>
      </c>
      <c r="D417" s="14">
        <v>47000</v>
      </c>
      <c r="E417" s="14">
        <f t="shared" ca="1" si="62"/>
        <v>30</v>
      </c>
      <c r="F417" s="14">
        <v>25</v>
      </c>
      <c r="G417" s="14">
        <f t="shared" si="56"/>
        <v>5</v>
      </c>
      <c r="H417" s="15">
        <f t="shared" si="57"/>
        <v>1880</v>
      </c>
      <c r="I417" s="15">
        <f t="shared" si="58"/>
        <v>47000</v>
      </c>
      <c r="J417" s="14">
        <f t="shared" si="59"/>
        <v>5640</v>
      </c>
      <c r="K417" s="15">
        <f t="shared" si="60"/>
        <v>352.5</v>
      </c>
      <c r="L417" s="15">
        <f t="shared" si="61"/>
        <v>41007.5</v>
      </c>
      <c r="M417" s="14"/>
      <c r="N417" s="14"/>
    </row>
    <row r="418" ht="14.25">
      <c r="A418" s="14">
        <v>416</v>
      </c>
      <c r="B418" s="14" t="str">
        <f t="shared" si="55"/>
        <v>Empl_416</v>
      </c>
      <c r="C418" s="14" t="s">
        <v>10</v>
      </c>
      <c r="D418" s="14">
        <v>15000</v>
      </c>
      <c r="E418" s="14">
        <f t="shared" ca="1" si="62"/>
        <v>30</v>
      </c>
      <c r="F418" s="14">
        <v>28</v>
      </c>
      <c r="G418" s="14">
        <f t="shared" si="56"/>
        <v>2</v>
      </c>
      <c r="H418" s="15">
        <f t="shared" si="57"/>
        <v>535.71428571428567</v>
      </c>
      <c r="I418" s="15">
        <f t="shared" si="58"/>
        <v>14999.999999999998</v>
      </c>
      <c r="J418" s="14">
        <f t="shared" si="59"/>
        <v>1799.9999999999998</v>
      </c>
      <c r="K418" s="15">
        <f t="shared" si="60"/>
        <v>112.49999999999999</v>
      </c>
      <c r="L418" s="15">
        <f t="shared" si="61"/>
        <v>13087.499999999998</v>
      </c>
      <c r="M418" s="14"/>
      <c r="N418" s="14"/>
    </row>
    <row r="419" ht="14.25">
      <c r="A419" s="14">
        <v>417</v>
      </c>
      <c r="B419" s="14" t="str">
        <f t="shared" si="55"/>
        <v>Empl_417</v>
      </c>
      <c r="C419" s="14" t="s">
        <v>13</v>
      </c>
      <c r="D419" s="14">
        <v>27000</v>
      </c>
      <c r="E419" s="14">
        <f t="shared" ca="1" si="62"/>
        <v>30</v>
      </c>
      <c r="F419" s="14">
        <v>26</v>
      </c>
      <c r="G419" s="14">
        <f t="shared" si="56"/>
        <v>4</v>
      </c>
      <c r="H419" s="15">
        <f t="shared" si="57"/>
        <v>1038.4615384615386</v>
      </c>
      <c r="I419" s="15">
        <f t="shared" si="58"/>
        <v>27000.000000000004</v>
      </c>
      <c r="J419" s="14">
        <f t="shared" si="59"/>
        <v>3240.0000000000005</v>
      </c>
      <c r="K419" s="15">
        <f t="shared" si="60"/>
        <v>202.50000000000003</v>
      </c>
      <c r="L419" s="15">
        <f t="shared" si="61"/>
        <v>23557.500000000004</v>
      </c>
      <c r="M419" s="14"/>
      <c r="N419" s="14"/>
    </row>
    <row r="420" ht="14.25">
      <c r="A420" s="14">
        <v>418</v>
      </c>
      <c r="B420" s="14" t="str">
        <f t="shared" ref="B420:B483" si="63">"Empl_"&amp;A420</f>
        <v>Empl_418</v>
      </c>
      <c r="C420" s="14" t="s">
        <v>9</v>
      </c>
      <c r="D420" s="14">
        <v>40000</v>
      </c>
      <c r="E420" s="14">
        <f t="shared" ca="1" si="62"/>
        <v>30</v>
      </c>
      <c r="F420" s="14">
        <v>26</v>
      </c>
      <c r="G420" s="14">
        <f t="shared" ref="G420:G483" si="64">E420-F420</f>
        <v>4</v>
      </c>
      <c r="H420" s="15">
        <f t="shared" ref="H420:H483" si="65">D420/F420</f>
        <v>1538.4615384615386</v>
      </c>
      <c r="I420" s="15">
        <f t="shared" ref="I420:I483" si="66">H420*F420</f>
        <v>40000</v>
      </c>
      <c r="J420" s="14">
        <f t="shared" ref="J420:J483" si="67">I420*12%</f>
        <v>4800</v>
      </c>
      <c r="K420" s="15">
        <f t="shared" ref="K420:K483" si="68">I420*0.75%</f>
        <v>300</v>
      </c>
      <c r="L420" s="15">
        <f t="shared" ref="L420:L483" si="69">I420-(J420+K420)</f>
        <v>34900</v>
      </c>
      <c r="M420" s="14"/>
      <c r="N420" s="14"/>
    </row>
    <row r="421" ht="14.25">
      <c r="A421" s="14">
        <v>419</v>
      </c>
      <c r="B421" s="14" t="str">
        <f t="shared" si="63"/>
        <v>Empl_419</v>
      </c>
      <c r="C421" s="14" t="s">
        <v>11</v>
      </c>
      <c r="D421" s="14">
        <v>44000</v>
      </c>
      <c r="E421" s="14">
        <f t="shared" ca="1" si="62"/>
        <v>30</v>
      </c>
      <c r="F421" s="14">
        <v>27</v>
      </c>
      <c r="G421" s="14">
        <f t="shared" si="64"/>
        <v>3</v>
      </c>
      <c r="H421" s="15">
        <f t="shared" si="65"/>
        <v>1629.6296296296296</v>
      </c>
      <c r="I421" s="15">
        <f t="shared" si="66"/>
        <v>44000</v>
      </c>
      <c r="J421" s="14">
        <f t="shared" si="67"/>
        <v>5280</v>
      </c>
      <c r="K421" s="15">
        <f t="shared" si="68"/>
        <v>330</v>
      </c>
      <c r="L421" s="15">
        <f t="shared" si="69"/>
        <v>38390</v>
      </c>
      <c r="M421" s="14"/>
      <c r="N421" s="14"/>
    </row>
    <row r="422" ht="14.25">
      <c r="A422" s="14">
        <v>420</v>
      </c>
      <c r="B422" s="14" t="str">
        <f t="shared" si="63"/>
        <v>Empl_420</v>
      </c>
      <c r="C422" s="14" t="s">
        <v>8</v>
      </c>
      <c r="D422" s="14">
        <v>32000</v>
      </c>
      <c r="E422" s="14">
        <f t="shared" ca="1" si="62"/>
        <v>30</v>
      </c>
      <c r="F422" s="14">
        <v>27</v>
      </c>
      <c r="G422" s="14">
        <f t="shared" si="64"/>
        <v>3</v>
      </c>
      <c r="H422" s="15">
        <f t="shared" si="65"/>
        <v>1185.1851851851852</v>
      </c>
      <c r="I422" s="15">
        <f t="shared" si="66"/>
        <v>32000</v>
      </c>
      <c r="J422" s="14">
        <f t="shared" si="67"/>
        <v>3840</v>
      </c>
      <c r="K422" s="15">
        <f t="shared" si="68"/>
        <v>240</v>
      </c>
      <c r="L422" s="15">
        <f t="shared" si="69"/>
        <v>27920</v>
      </c>
      <c r="M422" s="14"/>
      <c r="N422" s="14"/>
    </row>
    <row r="423" ht="14.25">
      <c r="A423" s="14">
        <v>421</v>
      </c>
      <c r="B423" s="14" t="str">
        <f t="shared" si="63"/>
        <v>Empl_421</v>
      </c>
      <c r="C423" s="14" t="s">
        <v>12</v>
      </c>
      <c r="D423" s="14">
        <v>42000</v>
      </c>
      <c r="E423" s="14">
        <f t="shared" ca="1" si="62"/>
        <v>30</v>
      </c>
      <c r="F423" s="14">
        <v>21</v>
      </c>
      <c r="G423" s="14">
        <f t="shared" si="64"/>
        <v>9</v>
      </c>
      <c r="H423" s="15">
        <f t="shared" si="65"/>
        <v>2000</v>
      </c>
      <c r="I423" s="15">
        <f t="shared" si="66"/>
        <v>42000</v>
      </c>
      <c r="J423" s="14">
        <f t="shared" si="67"/>
        <v>5040</v>
      </c>
      <c r="K423" s="15">
        <f t="shared" si="68"/>
        <v>315</v>
      </c>
      <c r="L423" s="15">
        <f t="shared" si="69"/>
        <v>36645</v>
      </c>
      <c r="M423" s="14"/>
      <c r="N423" s="14"/>
    </row>
    <row r="424" ht="14.25">
      <c r="A424" s="14">
        <v>422</v>
      </c>
      <c r="B424" s="14" t="str">
        <f t="shared" si="63"/>
        <v>Empl_422</v>
      </c>
      <c r="C424" s="14" t="s">
        <v>10</v>
      </c>
      <c r="D424" s="14">
        <v>24000</v>
      </c>
      <c r="E424" s="14">
        <f t="shared" ca="1" si="62"/>
        <v>30</v>
      </c>
      <c r="F424" s="14">
        <v>29</v>
      </c>
      <c r="G424" s="14">
        <f t="shared" si="64"/>
        <v>1</v>
      </c>
      <c r="H424" s="15">
        <f t="shared" si="65"/>
        <v>827.58620689655174</v>
      </c>
      <c r="I424" s="15">
        <f t="shared" si="66"/>
        <v>24000</v>
      </c>
      <c r="J424" s="14">
        <f t="shared" si="67"/>
        <v>2880</v>
      </c>
      <c r="K424" s="15">
        <f t="shared" si="68"/>
        <v>180</v>
      </c>
      <c r="L424" s="15">
        <f t="shared" si="69"/>
        <v>20940</v>
      </c>
      <c r="M424" s="14"/>
      <c r="N424" s="14"/>
    </row>
    <row r="425" ht="14.25">
      <c r="A425" s="14">
        <v>423</v>
      </c>
      <c r="B425" s="14" t="str">
        <f t="shared" si="63"/>
        <v>Empl_423</v>
      </c>
      <c r="C425" s="14" t="s">
        <v>13</v>
      </c>
      <c r="D425" s="14">
        <v>35000</v>
      </c>
      <c r="E425" s="14">
        <f t="shared" ca="1" si="62"/>
        <v>30</v>
      </c>
      <c r="F425" s="14">
        <v>29</v>
      </c>
      <c r="G425" s="14">
        <f t="shared" si="64"/>
        <v>1</v>
      </c>
      <c r="H425" s="15">
        <f t="shared" si="65"/>
        <v>1206.8965517241379</v>
      </c>
      <c r="I425" s="15">
        <f t="shared" si="66"/>
        <v>35000</v>
      </c>
      <c r="J425" s="14">
        <f t="shared" si="67"/>
        <v>4200</v>
      </c>
      <c r="K425" s="15">
        <f t="shared" si="68"/>
        <v>262.5</v>
      </c>
      <c r="L425" s="15">
        <f t="shared" si="69"/>
        <v>30537.5</v>
      </c>
      <c r="M425" s="14"/>
      <c r="N425" s="14"/>
    </row>
    <row r="426" ht="14.25">
      <c r="A426" s="14">
        <v>424</v>
      </c>
      <c r="B426" s="14" t="str">
        <f t="shared" si="63"/>
        <v>Empl_424</v>
      </c>
      <c r="C426" s="14" t="s">
        <v>9</v>
      </c>
      <c r="D426" s="14">
        <v>55000</v>
      </c>
      <c r="E426" s="14">
        <f t="shared" ca="1" si="62"/>
        <v>30</v>
      </c>
      <c r="F426" s="14">
        <v>20</v>
      </c>
      <c r="G426" s="14">
        <f t="shared" si="64"/>
        <v>10</v>
      </c>
      <c r="H426" s="15">
        <f t="shared" si="65"/>
        <v>2750</v>
      </c>
      <c r="I426" s="15">
        <f t="shared" si="66"/>
        <v>55000</v>
      </c>
      <c r="J426" s="14">
        <f t="shared" si="67"/>
        <v>6600</v>
      </c>
      <c r="K426" s="15">
        <f t="shared" si="68"/>
        <v>412.5</v>
      </c>
      <c r="L426" s="15">
        <f t="shared" si="69"/>
        <v>47987.5</v>
      </c>
      <c r="M426" s="14"/>
      <c r="N426" s="14"/>
    </row>
    <row r="427" ht="14.25">
      <c r="A427" s="14">
        <v>425</v>
      </c>
      <c r="B427" s="14" t="str">
        <f t="shared" si="63"/>
        <v>Empl_425</v>
      </c>
      <c r="C427" s="14" t="s">
        <v>11</v>
      </c>
      <c r="D427" s="14">
        <v>49000</v>
      </c>
      <c r="E427" s="14">
        <f t="shared" ca="1" si="62"/>
        <v>30</v>
      </c>
      <c r="F427" s="14">
        <v>26</v>
      </c>
      <c r="G427" s="14">
        <f t="shared" si="64"/>
        <v>4</v>
      </c>
      <c r="H427" s="15">
        <f t="shared" si="65"/>
        <v>1884.6153846153845</v>
      </c>
      <c r="I427" s="15">
        <f t="shared" si="66"/>
        <v>49000</v>
      </c>
      <c r="J427" s="14">
        <f t="shared" si="67"/>
        <v>5880</v>
      </c>
      <c r="K427" s="15">
        <f t="shared" si="68"/>
        <v>367.5</v>
      </c>
      <c r="L427" s="15">
        <f t="shared" si="69"/>
        <v>42752.5</v>
      </c>
      <c r="M427" s="14"/>
      <c r="N427" s="14"/>
    </row>
    <row r="428" ht="14.25">
      <c r="A428" s="14">
        <v>426</v>
      </c>
      <c r="B428" s="14" t="str">
        <f t="shared" si="63"/>
        <v>Empl_426</v>
      </c>
      <c r="C428" s="14" t="s">
        <v>8</v>
      </c>
      <c r="D428" s="14">
        <v>47000</v>
      </c>
      <c r="E428" s="14">
        <f t="shared" ca="1" si="62"/>
        <v>30</v>
      </c>
      <c r="F428" s="14">
        <v>25</v>
      </c>
      <c r="G428" s="14">
        <f t="shared" si="64"/>
        <v>5</v>
      </c>
      <c r="H428" s="15">
        <f t="shared" si="65"/>
        <v>1880</v>
      </c>
      <c r="I428" s="15">
        <f t="shared" si="66"/>
        <v>47000</v>
      </c>
      <c r="J428" s="14">
        <f t="shared" si="67"/>
        <v>5640</v>
      </c>
      <c r="K428" s="15">
        <f t="shared" si="68"/>
        <v>352.5</v>
      </c>
      <c r="L428" s="15">
        <f t="shared" si="69"/>
        <v>41007.5</v>
      </c>
      <c r="M428" s="14"/>
      <c r="N428" s="14"/>
    </row>
    <row r="429" ht="14.25">
      <c r="A429" s="14">
        <v>427</v>
      </c>
      <c r="B429" s="14" t="str">
        <f t="shared" si="63"/>
        <v>Empl_427</v>
      </c>
      <c r="C429" s="14" t="s">
        <v>12</v>
      </c>
      <c r="D429" s="14">
        <v>39000</v>
      </c>
      <c r="E429" s="14">
        <f t="shared" ca="1" si="62"/>
        <v>30</v>
      </c>
      <c r="F429" s="14">
        <v>27</v>
      </c>
      <c r="G429" s="14">
        <f t="shared" si="64"/>
        <v>3</v>
      </c>
      <c r="H429" s="15">
        <f t="shared" si="65"/>
        <v>1444.4444444444443</v>
      </c>
      <c r="I429" s="15">
        <f t="shared" si="66"/>
        <v>39000</v>
      </c>
      <c r="J429" s="14">
        <f t="shared" si="67"/>
        <v>4680</v>
      </c>
      <c r="K429" s="15">
        <f t="shared" si="68"/>
        <v>292.5</v>
      </c>
      <c r="L429" s="15">
        <f t="shared" si="69"/>
        <v>34027.5</v>
      </c>
      <c r="M429" s="14"/>
      <c r="N429" s="14"/>
    </row>
    <row r="430" ht="14.25">
      <c r="A430" s="14">
        <v>428</v>
      </c>
      <c r="B430" s="14" t="str">
        <f t="shared" si="63"/>
        <v>Empl_428</v>
      </c>
      <c r="C430" s="14" t="s">
        <v>10</v>
      </c>
      <c r="D430" s="14">
        <v>56000</v>
      </c>
      <c r="E430" s="14">
        <f t="shared" ca="1" si="62"/>
        <v>30</v>
      </c>
      <c r="F430" s="14">
        <v>23</v>
      </c>
      <c r="G430" s="14">
        <f t="shared" si="64"/>
        <v>7</v>
      </c>
      <c r="H430" s="15">
        <f t="shared" si="65"/>
        <v>2434.782608695652</v>
      </c>
      <c r="I430" s="15">
        <f t="shared" si="66"/>
        <v>56000</v>
      </c>
      <c r="J430" s="14">
        <f t="shared" si="67"/>
        <v>6720</v>
      </c>
      <c r="K430" s="15">
        <f t="shared" si="68"/>
        <v>420</v>
      </c>
      <c r="L430" s="15">
        <f t="shared" si="69"/>
        <v>48860</v>
      </c>
      <c r="M430" s="14"/>
      <c r="N430" s="14"/>
    </row>
    <row r="431" ht="14.25">
      <c r="A431" s="14">
        <v>429</v>
      </c>
      <c r="B431" s="14" t="str">
        <f t="shared" si="63"/>
        <v>Empl_429</v>
      </c>
      <c r="C431" s="14" t="s">
        <v>13</v>
      </c>
      <c r="D431" s="14">
        <v>41000</v>
      </c>
      <c r="E431" s="14">
        <f t="shared" ca="1" si="62"/>
        <v>30</v>
      </c>
      <c r="F431" s="14">
        <v>22</v>
      </c>
      <c r="G431" s="14">
        <f t="shared" si="64"/>
        <v>8</v>
      </c>
      <c r="H431" s="15">
        <f t="shared" si="65"/>
        <v>1863.6363636363637</v>
      </c>
      <c r="I431" s="15">
        <f t="shared" si="66"/>
        <v>41000</v>
      </c>
      <c r="J431" s="14">
        <f t="shared" si="67"/>
        <v>4920</v>
      </c>
      <c r="K431" s="15">
        <f t="shared" si="68"/>
        <v>307.5</v>
      </c>
      <c r="L431" s="15">
        <f t="shared" si="69"/>
        <v>35772.5</v>
      </c>
      <c r="M431" s="14"/>
      <c r="N431" s="14"/>
    </row>
    <row r="432" ht="14.25">
      <c r="A432" s="14">
        <v>430</v>
      </c>
      <c r="B432" s="14" t="str">
        <f t="shared" si="63"/>
        <v>Empl_430</v>
      </c>
      <c r="C432" s="14" t="s">
        <v>9</v>
      </c>
      <c r="D432" s="14">
        <v>54000</v>
      </c>
      <c r="E432" s="14">
        <f t="shared" ca="1" si="62"/>
        <v>30</v>
      </c>
      <c r="F432" s="14">
        <v>21</v>
      </c>
      <c r="G432" s="14">
        <f t="shared" si="64"/>
        <v>9</v>
      </c>
      <c r="H432" s="15">
        <f t="shared" si="65"/>
        <v>2571.4285714285716</v>
      </c>
      <c r="I432" s="15">
        <f t="shared" si="66"/>
        <v>54000</v>
      </c>
      <c r="J432" s="14">
        <f t="shared" si="67"/>
        <v>6480</v>
      </c>
      <c r="K432" s="15">
        <f t="shared" si="68"/>
        <v>405</v>
      </c>
      <c r="L432" s="15">
        <f t="shared" si="69"/>
        <v>47115</v>
      </c>
      <c r="M432" s="14"/>
      <c r="N432" s="14"/>
    </row>
    <row r="433" ht="14.25">
      <c r="A433" s="14">
        <v>431</v>
      </c>
      <c r="B433" s="14" t="str">
        <f t="shared" si="63"/>
        <v>Empl_431</v>
      </c>
      <c r="C433" s="14" t="s">
        <v>11</v>
      </c>
      <c r="D433" s="14">
        <v>38000</v>
      </c>
      <c r="E433" s="14">
        <f t="shared" ca="1" si="62"/>
        <v>30</v>
      </c>
      <c r="F433" s="14">
        <v>27</v>
      </c>
      <c r="G433" s="14">
        <f t="shared" si="64"/>
        <v>3</v>
      </c>
      <c r="H433" s="15">
        <f t="shared" si="65"/>
        <v>1407.4074074074074</v>
      </c>
      <c r="I433" s="15">
        <f t="shared" si="66"/>
        <v>38000</v>
      </c>
      <c r="J433" s="14">
        <f t="shared" si="67"/>
        <v>4560</v>
      </c>
      <c r="K433" s="15">
        <f t="shared" si="68"/>
        <v>285</v>
      </c>
      <c r="L433" s="15">
        <f t="shared" si="69"/>
        <v>33155</v>
      </c>
      <c r="M433" s="14"/>
      <c r="N433" s="14"/>
    </row>
    <row r="434" ht="14.25">
      <c r="A434" s="14">
        <v>432</v>
      </c>
      <c r="B434" s="14" t="str">
        <f t="shared" si="63"/>
        <v>Empl_432</v>
      </c>
      <c r="C434" s="14" t="s">
        <v>8</v>
      </c>
      <c r="D434" s="14">
        <v>34000</v>
      </c>
      <c r="E434" s="14">
        <f t="shared" ca="1" si="62"/>
        <v>30</v>
      </c>
      <c r="F434" s="14">
        <v>28</v>
      </c>
      <c r="G434" s="14">
        <f t="shared" si="64"/>
        <v>2</v>
      </c>
      <c r="H434" s="15">
        <f t="shared" si="65"/>
        <v>1214.2857142857142</v>
      </c>
      <c r="I434" s="15">
        <f t="shared" si="66"/>
        <v>34000</v>
      </c>
      <c r="J434" s="14">
        <f t="shared" si="67"/>
        <v>4080</v>
      </c>
      <c r="K434" s="15">
        <f t="shared" si="68"/>
        <v>255</v>
      </c>
      <c r="L434" s="15">
        <f t="shared" si="69"/>
        <v>29665</v>
      </c>
      <c r="M434" s="14"/>
      <c r="N434" s="14"/>
    </row>
    <row r="435" ht="14.25">
      <c r="A435" s="14">
        <v>433</v>
      </c>
      <c r="B435" s="14" t="str">
        <f t="shared" si="63"/>
        <v>Empl_433</v>
      </c>
      <c r="C435" s="14" t="s">
        <v>12</v>
      </c>
      <c r="D435" s="14">
        <v>23000</v>
      </c>
      <c r="E435" s="14">
        <f t="shared" ca="1" si="62"/>
        <v>30</v>
      </c>
      <c r="F435" s="14">
        <v>29</v>
      </c>
      <c r="G435" s="14">
        <f t="shared" si="64"/>
        <v>1</v>
      </c>
      <c r="H435" s="15">
        <f t="shared" si="65"/>
        <v>793.10344827586209</v>
      </c>
      <c r="I435" s="15">
        <f t="shared" si="66"/>
        <v>23000</v>
      </c>
      <c r="J435" s="14">
        <f t="shared" si="67"/>
        <v>2760</v>
      </c>
      <c r="K435" s="15">
        <f t="shared" si="68"/>
        <v>172.5</v>
      </c>
      <c r="L435" s="15">
        <f t="shared" si="69"/>
        <v>20067.5</v>
      </c>
      <c r="M435" s="14"/>
      <c r="N435" s="14"/>
    </row>
    <row r="436" ht="14.25">
      <c r="A436" s="14">
        <v>434</v>
      </c>
      <c r="B436" s="14" t="str">
        <f t="shared" si="63"/>
        <v>Empl_434</v>
      </c>
      <c r="C436" s="14" t="s">
        <v>10</v>
      </c>
      <c r="D436" s="14">
        <v>51000</v>
      </c>
      <c r="E436" s="14">
        <f t="shared" ca="1" si="62"/>
        <v>30</v>
      </c>
      <c r="F436" s="14">
        <v>27</v>
      </c>
      <c r="G436" s="14">
        <f t="shared" si="64"/>
        <v>3</v>
      </c>
      <c r="H436" s="15">
        <f t="shared" si="65"/>
        <v>1888.8888888888889</v>
      </c>
      <c r="I436" s="15">
        <f t="shared" si="66"/>
        <v>51000</v>
      </c>
      <c r="J436" s="14">
        <f t="shared" si="67"/>
        <v>6120</v>
      </c>
      <c r="K436" s="15">
        <f t="shared" si="68"/>
        <v>382.5</v>
      </c>
      <c r="L436" s="15">
        <f t="shared" si="69"/>
        <v>44497.5</v>
      </c>
      <c r="M436" s="14"/>
      <c r="N436" s="14"/>
    </row>
    <row r="437" ht="14.25">
      <c r="A437" s="14">
        <v>435</v>
      </c>
      <c r="B437" s="14" t="str">
        <f t="shared" si="63"/>
        <v>Empl_435</v>
      </c>
      <c r="C437" s="14" t="s">
        <v>13</v>
      </c>
      <c r="D437" s="14">
        <v>18000</v>
      </c>
      <c r="E437" s="14">
        <f t="shared" ca="1" si="62"/>
        <v>30</v>
      </c>
      <c r="F437" s="14">
        <v>20</v>
      </c>
      <c r="G437" s="14">
        <f t="shared" si="64"/>
        <v>10</v>
      </c>
      <c r="H437" s="15">
        <f t="shared" si="65"/>
        <v>900</v>
      </c>
      <c r="I437" s="15">
        <f t="shared" si="66"/>
        <v>18000</v>
      </c>
      <c r="J437" s="14">
        <f t="shared" si="67"/>
        <v>2160</v>
      </c>
      <c r="K437" s="15">
        <f t="shared" si="68"/>
        <v>135</v>
      </c>
      <c r="L437" s="15">
        <f t="shared" si="69"/>
        <v>15705</v>
      </c>
      <c r="M437" s="14"/>
      <c r="N437" s="14"/>
    </row>
    <row r="438" ht="14.25">
      <c r="A438" s="14">
        <v>436</v>
      </c>
      <c r="B438" s="14" t="str">
        <f t="shared" si="63"/>
        <v>Empl_436</v>
      </c>
      <c r="C438" s="14" t="s">
        <v>9</v>
      </c>
      <c r="D438" s="14">
        <v>23000</v>
      </c>
      <c r="E438" s="14">
        <f t="shared" ca="1" si="62"/>
        <v>30</v>
      </c>
      <c r="F438" s="14">
        <v>25</v>
      </c>
      <c r="G438" s="14">
        <f t="shared" si="64"/>
        <v>5</v>
      </c>
      <c r="H438" s="15">
        <f t="shared" si="65"/>
        <v>920</v>
      </c>
      <c r="I438" s="15">
        <f t="shared" si="66"/>
        <v>23000</v>
      </c>
      <c r="J438" s="14">
        <f t="shared" si="67"/>
        <v>2760</v>
      </c>
      <c r="K438" s="15">
        <f t="shared" si="68"/>
        <v>172.5</v>
      </c>
      <c r="L438" s="15">
        <f t="shared" si="69"/>
        <v>20067.5</v>
      </c>
      <c r="M438" s="14"/>
      <c r="N438" s="14"/>
    </row>
    <row r="439" ht="14.25">
      <c r="A439" s="14">
        <v>437</v>
      </c>
      <c r="B439" s="14" t="str">
        <f t="shared" si="63"/>
        <v>Empl_437</v>
      </c>
      <c r="C439" s="14" t="s">
        <v>11</v>
      </c>
      <c r="D439" s="14">
        <v>40000</v>
      </c>
      <c r="E439" s="14">
        <f t="shared" ca="1" si="62"/>
        <v>30</v>
      </c>
      <c r="F439" s="14">
        <v>26</v>
      </c>
      <c r="G439" s="14">
        <f t="shared" si="64"/>
        <v>4</v>
      </c>
      <c r="H439" s="15">
        <f t="shared" si="65"/>
        <v>1538.4615384615386</v>
      </c>
      <c r="I439" s="15">
        <f t="shared" si="66"/>
        <v>40000</v>
      </c>
      <c r="J439" s="14">
        <f t="shared" si="67"/>
        <v>4800</v>
      </c>
      <c r="K439" s="15">
        <f t="shared" si="68"/>
        <v>300</v>
      </c>
      <c r="L439" s="15">
        <f t="shared" si="69"/>
        <v>34900</v>
      </c>
      <c r="M439" s="14"/>
      <c r="N439" s="14"/>
    </row>
    <row r="440" ht="14.25">
      <c r="A440" s="14">
        <v>438</v>
      </c>
      <c r="B440" s="14" t="str">
        <f t="shared" si="63"/>
        <v>Empl_438</v>
      </c>
      <c r="C440" s="14" t="s">
        <v>8</v>
      </c>
      <c r="D440" s="14">
        <v>22000</v>
      </c>
      <c r="E440" s="14">
        <f t="shared" ca="1" si="62"/>
        <v>30</v>
      </c>
      <c r="F440" s="14">
        <v>29</v>
      </c>
      <c r="G440" s="14">
        <f t="shared" si="64"/>
        <v>1</v>
      </c>
      <c r="H440" s="15">
        <f t="shared" si="65"/>
        <v>758.62068965517244</v>
      </c>
      <c r="I440" s="15">
        <f t="shared" si="66"/>
        <v>22000</v>
      </c>
      <c r="J440" s="14">
        <f t="shared" si="67"/>
        <v>2640</v>
      </c>
      <c r="K440" s="15">
        <f t="shared" si="68"/>
        <v>165</v>
      </c>
      <c r="L440" s="15">
        <f t="shared" si="69"/>
        <v>19195</v>
      </c>
      <c r="M440" s="14"/>
      <c r="N440" s="14"/>
    </row>
    <row r="441" ht="14.25">
      <c r="A441" s="14">
        <v>439</v>
      </c>
      <c r="B441" s="14" t="str">
        <f t="shared" si="63"/>
        <v>Empl_439</v>
      </c>
      <c r="C441" s="14" t="s">
        <v>12</v>
      </c>
      <c r="D441" s="14">
        <v>55000</v>
      </c>
      <c r="E441" s="14">
        <f t="shared" ca="1" si="62"/>
        <v>30</v>
      </c>
      <c r="F441" s="14">
        <v>28</v>
      </c>
      <c r="G441" s="14">
        <f t="shared" si="64"/>
        <v>2</v>
      </c>
      <c r="H441" s="15">
        <f t="shared" si="65"/>
        <v>1964.2857142857142</v>
      </c>
      <c r="I441" s="15">
        <f t="shared" si="66"/>
        <v>55000</v>
      </c>
      <c r="J441" s="14">
        <f t="shared" si="67"/>
        <v>6600</v>
      </c>
      <c r="K441" s="15">
        <f t="shared" si="68"/>
        <v>412.5</v>
      </c>
      <c r="L441" s="15">
        <f t="shared" si="69"/>
        <v>47987.5</v>
      </c>
      <c r="M441" s="14"/>
      <c r="N441" s="14"/>
    </row>
    <row r="442" ht="14.25">
      <c r="A442" s="14">
        <v>440</v>
      </c>
      <c r="B442" s="14" t="str">
        <f t="shared" si="63"/>
        <v>Empl_440</v>
      </c>
      <c r="C442" s="14" t="s">
        <v>10</v>
      </c>
      <c r="D442" s="14">
        <v>59000</v>
      </c>
      <c r="E442" s="14">
        <f t="shared" ca="1" si="62"/>
        <v>30</v>
      </c>
      <c r="F442" s="14">
        <v>22</v>
      </c>
      <c r="G442" s="14">
        <f t="shared" si="64"/>
        <v>8</v>
      </c>
      <c r="H442" s="15">
        <f t="shared" si="65"/>
        <v>2681.818181818182</v>
      </c>
      <c r="I442" s="15">
        <f t="shared" si="66"/>
        <v>59000</v>
      </c>
      <c r="J442" s="14">
        <f t="shared" si="67"/>
        <v>7080</v>
      </c>
      <c r="K442" s="15">
        <f t="shared" si="68"/>
        <v>442.5</v>
      </c>
      <c r="L442" s="15">
        <f t="shared" si="69"/>
        <v>51477.5</v>
      </c>
      <c r="M442" s="14"/>
      <c r="N442" s="14"/>
    </row>
    <row r="443" ht="14.25">
      <c r="A443" s="14">
        <v>441</v>
      </c>
      <c r="B443" s="14" t="str">
        <f t="shared" si="63"/>
        <v>Empl_441</v>
      </c>
      <c r="C443" s="14" t="s">
        <v>13</v>
      </c>
      <c r="D443" s="14">
        <v>52000</v>
      </c>
      <c r="E443" s="14">
        <f t="shared" ca="1" si="62"/>
        <v>30</v>
      </c>
      <c r="F443" s="14">
        <v>24</v>
      </c>
      <c r="G443" s="14">
        <f t="shared" si="64"/>
        <v>6</v>
      </c>
      <c r="H443" s="15">
        <f t="shared" si="65"/>
        <v>2166.6666666666665</v>
      </c>
      <c r="I443" s="15">
        <f t="shared" si="66"/>
        <v>52000</v>
      </c>
      <c r="J443" s="14">
        <f t="shared" si="67"/>
        <v>6240</v>
      </c>
      <c r="K443" s="15">
        <f t="shared" si="68"/>
        <v>390</v>
      </c>
      <c r="L443" s="15">
        <f t="shared" si="69"/>
        <v>45370</v>
      </c>
      <c r="M443" s="14"/>
      <c r="N443" s="14"/>
    </row>
    <row r="444" ht="14.25">
      <c r="A444" s="14">
        <v>442</v>
      </c>
      <c r="B444" s="14" t="str">
        <f t="shared" si="63"/>
        <v>Empl_442</v>
      </c>
      <c r="C444" s="14" t="s">
        <v>9</v>
      </c>
      <c r="D444" s="14">
        <v>20000</v>
      </c>
      <c r="E444" s="14">
        <f t="shared" ca="1" si="62"/>
        <v>30</v>
      </c>
      <c r="F444" s="14">
        <v>27</v>
      </c>
      <c r="G444" s="14">
        <f t="shared" si="64"/>
        <v>3</v>
      </c>
      <c r="H444" s="15">
        <f t="shared" si="65"/>
        <v>740.74074074074076</v>
      </c>
      <c r="I444" s="15">
        <f t="shared" si="66"/>
        <v>20000</v>
      </c>
      <c r="J444" s="14">
        <f t="shared" si="67"/>
        <v>2400</v>
      </c>
      <c r="K444" s="15">
        <f t="shared" si="68"/>
        <v>150</v>
      </c>
      <c r="L444" s="15">
        <f t="shared" si="69"/>
        <v>17450</v>
      </c>
      <c r="M444" s="14"/>
      <c r="N444" s="14"/>
    </row>
    <row r="445" ht="14.25">
      <c r="A445" s="14">
        <v>443</v>
      </c>
      <c r="B445" s="14" t="str">
        <f t="shared" si="63"/>
        <v>Empl_443</v>
      </c>
      <c r="C445" s="14" t="s">
        <v>11</v>
      </c>
      <c r="D445" s="14">
        <v>44000</v>
      </c>
      <c r="E445" s="14">
        <f t="shared" ca="1" si="62"/>
        <v>30</v>
      </c>
      <c r="F445" s="14">
        <v>22</v>
      </c>
      <c r="G445" s="14">
        <f t="shared" si="64"/>
        <v>8</v>
      </c>
      <c r="H445" s="15">
        <f t="shared" si="65"/>
        <v>2000</v>
      </c>
      <c r="I445" s="15">
        <f t="shared" si="66"/>
        <v>44000</v>
      </c>
      <c r="J445" s="14">
        <f t="shared" si="67"/>
        <v>5280</v>
      </c>
      <c r="K445" s="15">
        <f t="shared" si="68"/>
        <v>330</v>
      </c>
      <c r="L445" s="15">
        <f t="shared" si="69"/>
        <v>38390</v>
      </c>
      <c r="M445" s="14"/>
      <c r="N445" s="14"/>
    </row>
    <row r="446" ht="14.25">
      <c r="A446" s="14">
        <v>444</v>
      </c>
      <c r="B446" s="14" t="str">
        <f t="shared" si="63"/>
        <v>Empl_444</v>
      </c>
      <c r="C446" s="14" t="s">
        <v>8</v>
      </c>
      <c r="D446" s="14">
        <v>29000</v>
      </c>
      <c r="E446" s="14">
        <f t="shared" ca="1" si="62"/>
        <v>30</v>
      </c>
      <c r="F446" s="14">
        <v>30</v>
      </c>
      <c r="G446" s="14">
        <f t="shared" si="64"/>
        <v>0</v>
      </c>
      <c r="H446" s="15">
        <f t="shared" si="65"/>
        <v>966.66666666666663</v>
      </c>
      <c r="I446" s="15">
        <f t="shared" si="66"/>
        <v>29000</v>
      </c>
      <c r="J446" s="14">
        <f t="shared" si="67"/>
        <v>3480</v>
      </c>
      <c r="K446" s="15">
        <f t="shared" si="68"/>
        <v>217.5</v>
      </c>
      <c r="L446" s="15">
        <f t="shared" si="69"/>
        <v>25302.5</v>
      </c>
      <c r="M446" s="14"/>
      <c r="N446" s="14"/>
    </row>
    <row r="447" ht="14.25">
      <c r="A447" s="14">
        <v>445</v>
      </c>
      <c r="B447" s="14" t="str">
        <f t="shared" si="63"/>
        <v>Empl_445</v>
      </c>
      <c r="C447" s="14" t="s">
        <v>12</v>
      </c>
      <c r="D447" s="14">
        <v>42000</v>
      </c>
      <c r="E447" s="14">
        <f t="shared" ca="1" si="62"/>
        <v>30</v>
      </c>
      <c r="F447" s="14">
        <v>25</v>
      </c>
      <c r="G447" s="14">
        <f t="shared" si="64"/>
        <v>5</v>
      </c>
      <c r="H447" s="15">
        <f t="shared" si="65"/>
        <v>1680</v>
      </c>
      <c r="I447" s="15">
        <f t="shared" si="66"/>
        <v>42000</v>
      </c>
      <c r="J447" s="14">
        <f t="shared" si="67"/>
        <v>5040</v>
      </c>
      <c r="K447" s="15">
        <f t="shared" si="68"/>
        <v>315</v>
      </c>
      <c r="L447" s="15">
        <f t="shared" si="69"/>
        <v>36645</v>
      </c>
      <c r="M447" s="14"/>
      <c r="N447" s="14"/>
    </row>
    <row r="448" ht="14.25">
      <c r="A448" s="14">
        <v>446</v>
      </c>
      <c r="B448" s="14" t="str">
        <f t="shared" si="63"/>
        <v>Empl_446</v>
      </c>
      <c r="C448" s="14" t="s">
        <v>10</v>
      </c>
      <c r="D448" s="14">
        <v>30000</v>
      </c>
      <c r="E448" s="14">
        <f t="shared" ca="1" si="62"/>
        <v>30</v>
      </c>
      <c r="F448" s="14">
        <v>28</v>
      </c>
      <c r="G448" s="14">
        <f t="shared" si="64"/>
        <v>2</v>
      </c>
      <c r="H448" s="15">
        <f t="shared" si="65"/>
        <v>1071.4285714285713</v>
      </c>
      <c r="I448" s="15">
        <f t="shared" si="66"/>
        <v>29999.999999999996</v>
      </c>
      <c r="J448" s="14">
        <f t="shared" si="67"/>
        <v>3599.9999999999995</v>
      </c>
      <c r="K448" s="15">
        <f t="shared" si="68"/>
        <v>224.99999999999997</v>
      </c>
      <c r="L448" s="15">
        <f t="shared" si="69"/>
        <v>26174.999999999996</v>
      </c>
      <c r="M448" s="14"/>
      <c r="N448" s="14"/>
    </row>
    <row r="449" ht="14.25">
      <c r="A449" s="14">
        <v>447</v>
      </c>
      <c r="B449" s="14" t="str">
        <f t="shared" si="63"/>
        <v>Empl_447</v>
      </c>
      <c r="C449" s="14" t="s">
        <v>13</v>
      </c>
      <c r="D449" s="14">
        <v>32000</v>
      </c>
      <c r="E449" s="14">
        <f t="shared" ca="1" si="62"/>
        <v>30</v>
      </c>
      <c r="F449" s="14">
        <v>24</v>
      </c>
      <c r="G449" s="14">
        <f t="shared" si="64"/>
        <v>6</v>
      </c>
      <c r="H449" s="15">
        <f t="shared" si="65"/>
        <v>1333.3333333333333</v>
      </c>
      <c r="I449" s="15">
        <f t="shared" si="66"/>
        <v>32000</v>
      </c>
      <c r="J449" s="14">
        <f t="shared" si="67"/>
        <v>3840</v>
      </c>
      <c r="K449" s="15">
        <f t="shared" si="68"/>
        <v>240</v>
      </c>
      <c r="L449" s="15">
        <f t="shared" si="69"/>
        <v>27920</v>
      </c>
      <c r="M449" s="14"/>
      <c r="N449" s="14"/>
    </row>
    <row r="450" ht="14.25">
      <c r="A450" s="14">
        <v>448</v>
      </c>
      <c r="B450" s="14" t="str">
        <f t="shared" si="63"/>
        <v>Empl_448</v>
      </c>
      <c r="C450" s="14" t="s">
        <v>9</v>
      </c>
      <c r="D450" s="14">
        <v>27000</v>
      </c>
      <c r="E450" s="14">
        <f t="shared" ca="1" si="62"/>
        <v>30</v>
      </c>
      <c r="F450" s="14">
        <v>28</v>
      </c>
      <c r="G450" s="14">
        <f t="shared" si="64"/>
        <v>2</v>
      </c>
      <c r="H450" s="15">
        <f t="shared" si="65"/>
        <v>964.28571428571433</v>
      </c>
      <c r="I450" s="15">
        <f t="shared" si="66"/>
        <v>27000</v>
      </c>
      <c r="J450" s="14">
        <f t="shared" si="67"/>
        <v>3240</v>
      </c>
      <c r="K450" s="15">
        <f t="shared" si="68"/>
        <v>202.5</v>
      </c>
      <c r="L450" s="15">
        <f t="shared" si="69"/>
        <v>23557.5</v>
      </c>
      <c r="M450" s="14"/>
      <c r="N450" s="14"/>
    </row>
    <row r="451" ht="14.25">
      <c r="A451" s="14">
        <v>449</v>
      </c>
      <c r="B451" s="14" t="str">
        <f t="shared" si="63"/>
        <v>Empl_449</v>
      </c>
      <c r="C451" s="14" t="s">
        <v>11</v>
      </c>
      <c r="D451" s="14">
        <v>39000</v>
      </c>
      <c r="E451" s="14">
        <f t="shared" ref="E451:E514" ca="1" si="70">DAY(EOMONTH(TODAY(),0))</f>
        <v>30</v>
      </c>
      <c r="F451" s="14">
        <v>23</v>
      </c>
      <c r="G451" s="14">
        <f t="shared" si="64"/>
        <v>7</v>
      </c>
      <c r="H451" s="15">
        <f t="shared" si="65"/>
        <v>1695.6521739130435</v>
      </c>
      <c r="I451" s="15">
        <f t="shared" si="66"/>
        <v>39000</v>
      </c>
      <c r="J451" s="14">
        <f t="shared" si="67"/>
        <v>4680</v>
      </c>
      <c r="K451" s="15">
        <f t="shared" si="68"/>
        <v>292.5</v>
      </c>
      <c r="L451" s="15">
        <f t="shared" si="69"/>
        <v>34027.5</v>
      </c>
      <c r="M451" s="14"/>
      <c r="N451" s="14"/>
    </row>
    <row r="452" ht="14.25">
      <c r="A452" s="14">
        <v>450</v>
      </c>
      <c r="B452" s="14" t="str">
        <f t="shared" si="63"/>
        <v>Empl_450</v>
      </c>
      <c r="C452" s="14" t="s">
        <v>8</v>
      </c>
      <c r="D452" s="14">
        <v>36000</v>
      </c>
      <c r="E452" s="14">
        <f t="shared" ca="1" si="70"/>
        <v>30</v>
      </c>
      <c r="F452" s="14">
        <v>26</v>
      </c>
      <c r="G452" s="14">
        <f t="shared" si="64"/>
        <v>4</v>
      </c>
      <c r="H452" s="15">
        <f t="shared" si="65"/>
        <v>1384.6153846153845</v>
      </c>
      <c r="I452" s="15">
        <f t="shared" si="66"/>
        <v>36000</v>
      </c>
      <c r="J452" s="14">
        <f t="shared" si="67"/>
        <v>4320</v>
      </c>
      <c r="K452" s="15">
        <f t="shared" si="68"/>
        <v>270</v>
      </c>
      <c r="L452" s="15">
        <f t="shared" si="69"/>
        <v>31410</v>
      </c>
      <c r="M452" s="14"/>
      <c r="N452" s="14"/>
    </row>
    <row r="453" ht="14.25">
      <c r="A453" s="14">
        <v>451</v>
      </c>
      <c r="B453" s="14" t="str">
        <f t="shared" si="63"/>
        <v>Empl_451</v>
      </c>
      <c r="C453" s="14" t="s">
        <v>12</v>
      </c>
      <c r="D453" s="14">
        <v>41000</v>
      </c>
      <c r="E453" s="14">
        <f t="shared" ca="1" si="70"/>
        <v>30</v>
      </c>
      <c r="F453" s="14">
        <v>22</v>
      </c>
      <c r="G453" s="14">
        <f t="shared" si="64"/>
        <v>8</v>
      </c>
      <c r="H453" s="15">
        <f t="shared" si="65"/>
        <v>1863.6363636363637</v>
      </c>
      <c r="I453" s="15">
        <f t="shared" si="66"/>
        <v>41000</v>
      </c>
      <c r="J453" s="14">
        <f t="shared" si="67"/>
        <v>4920</v>
      </c>
      <c r="K453" s="15">
        <f t="shared" si="68"/>
        <v>307.5</v>
      </c>
      <c r="L453" s="15">
        <f t="shared" si="69"/>
        <v>35772.5</v>
      </c>
      <c r="M453" s="14"/>
      <c r="N453" s="14"/>
    </row>
    <row r="454" ht="14.25">
      <c r="A454" s="14">
        <v>452</v>
      </c>
      <c r="B454" s="14" t="str">
        <f t="shared" si="63"/>
        <v>Empl_452</v>
      </c>
      <c r="C454" s="14" t="s">
        <v>10</v>
      </c>
      <c r="D454" s="14">
        <v>20000</v>
      </c>
      <c r="E454" s="14">
        <f t="shared" ca="1" si="70"/>
        <v>30</v>
      </c>
      <c r="F454" s="14">
        <v>25</v>
      </c>
      <c r="G454" s="14">
        <f t="shared" si="64"/>
        <v>5</v>
      </c>
      <c r="H454" s="15">
        <f t="shared" si="65"/>
        <v>800</v>
      </c>
      <c r="I454" s="15">
        <f t="shared" si="66"/>
        <v>20000</v>
      </c>
      <c r="J454" s="14">
        <f t="shared" si="67"/>
        <v>2400</v>
      </c>
      <c r="K454" s="15">
        <f t="shared" si="68"/>
        <v>150</v>
      </c>
      <c r="L454" s="15">
        <f t="shared" si="69"/>
        <v>17450</v>
      </c>
      <c r="M454" s="14"/>
      <c r="N454" s="14"/>
    </row>
    <row r="455" ht="14.25">
      <c r="A455" s="14">
        <v>453</v>
      </c>
      <c r="B455" s="14" t="str">
        <f t="shared" si="63"/>
        <v>Empl_453</v>
      </c>
      <c r="C455" s="14" t="s">
        <v>13</v>
      </c>
      <c r="D455" s="14">
        <v>56000</v>
      </c>
      <c r="E455" s="14">
        <f t="shared" ca="1" si="70"/>
        <v>30</v>
      </c>
      <c r="F455" s="14">
        <v>29</v>
      </c>
      <c r="G455" s="14">
        <f t="shared" si="64"/>
        <v>1</v>
      </c>
      <c r="H455" s="15">
        <f t="shared" si="65"/>
        <v>1931.0344827586207</v>
      </c>
      <c r="I455" s="15">
        <f t="shared" si="66"/>
        <v>56000</v>
      </c>
      <c r="J455" s="14">
        <f t="shared" si="67"/>
        <v>6720</v>
      </c>
      <c r="K455" s="15">
        <f t="shared" si="68"/>
        <v>420</v>
      </c>
      <c r="L455" s="15">
        <f t="shared" si="69"/>
        <v>48860</v>
      </c>
      <c r="M455" s="14"/>
      <c r="N455" s="14"/>
    </row>
    <row r="456" ht="14.25">
      <c r="A456" s="14">
        <v>454</v>
      </c>
      <c r="B456" s="14" t="str">
        <f t="shared" si="63"/>
        <v>Empl_454</v>
      </c>
      <c r="C456" s="14" t="s">
        <v>9</v>
      </c>
      <c r="D456" s="14">
        <v>58000</v>
      </c>
      <c r="E456" s="14">
        <f t="shared" ca="1" si="70"/>
        <v>30</v>
      </c>
      <c r="F456" s="14">
        <v>24</v>
      </c>
      <c r="G456" s="14">
        <f t="shared" si="64"/>
        <v>6</v>
      </c>
      <c r="H456" s="15">
        <f t="shared" si="65"/>
        <v>2416.6666666666665</v>
      </c>
      <c r="I456" s="15">
        <f t="shared" si="66"/>
        <v>58000</v>
      </c>
      <c r="J456" s="14">
        <f t="shared" si="67"/>
        <v>6960</v>
      </c>
      <c r="K456" s="15">
        <f t="shared" si="68"/>
        <v>435</v>
      </c>
      <c r="L456" s="15">
        <f t="shared" si="69"/>
        <v>50605</v>
      </c>
      <c r="M456" s="14"/>
      <c r="N456" s="14"/>
    </row>
    <row r="457" ht="14.25">
      <c r="A457" s="14">
        <v>455</v>
      </c>
      <c r="B457" s="14" t="str">
        <f t="shared" si="63"/>
        <v>Empl_455</v>
      </c>
      <c r="C457" s="14" t="s">
        <v>11</v>
      </c>
      <c r="D457" s="14">
        <v>43000</v>
      </c>
      <c r="E457" s="14">
        <f t="shared" ca="1" si="70"/>
        <v>30</v>
      </c>
      <c r="F457" s="14">
        <v>30</v>
      </c>
      <c r="G457" s="14">
        <f t="shared" si="64"/>
        <v>0</v>
      </c>
      <c r="H457" s="15">
        <f t="shared" si="65"/>
        <v>1433.3333333333333</v>
      </c>
      <c r="I457" s="15">
        <f t="shared" si="66"/>
        <v>43000</v>
      </c>
      <c r="J457" s="14">
        <f t="shared" si="67"/>
        <v>5160</v>
      </c>
      <c r="K457" s="15">
        <f t="shared" si="68"/>
        <v>322.5</v>
      </c>
      <c r="L457" s="15">
        <f t="shared" si="69"/>
        <v>37517.5</v>
      </c>
      <c r="M457" s="14"/>
      <c r="N457" s="14"/>
    </row>
    <row r="458" ht="14.25">
      <c r="A458" s="14">
        <v>456</v>
      </c>
      <c r="B458" s="14" t="str">
        <f t="shared" si="63"/>
        <v>Empl_456</v>
      </c>
      <c r="C458" s="14" t="s">
        <v>8</v>
      </c>
      <c r="D458" s="14">
        <v>51000</v>
      </c>
      <c r="E458" s="14">
        <f t="shared" ca="1" si="70"/>
        <v>30</v>
      </c>
      <c r="F458" s="14">
        <v>22</v>
      </c>
      <c r="G458" s="14">
        <f t="shared" si="64"/>
        <v>8</v>
      </c>
      <c r="H458" s="15">
        <f t="shared" si="65"/>
        <v>2318.181818181818</v>
      </c>
      <c r="I458" s="15">
        <f t="shared" si="66"/>
        <v>51000</v>
      </c>
      <c r="J458" s="14">
        <f t="shared" si="67"/>
        <v>6120</v>
      </c>
      <c r="K458" s="15">
        <f t="shared" si="68"/>
        <v>382.5</v>
      </c>
      <c r="L458" s="15">
        <f t="shared" si="69"/>
        <v>44497.5</v>
      </c>
      <c r="M458" s="14"/>
      <c r="N458" s="14"/>
    </row>
    <row r="459" ht="14.25">
      <c r="A459" s="14">
        <v>457</v>
      </c>
      <c r="B459" s="14" t="str">
        <f t="shared" si="63"/>
        <v>Empl_457</v>
      </c>
      <c r="C459" s="14" t="s">
        <v>12</v>
      </c>
      <c r="D459" s="14">
        <v>35000</v>
      </c>
      <c r="E459" s="14">
        <f t="shared" ca="1" si="70"/>
        <v>30</v>
      </c>
      <c r="F459" s="14">
        <v>23</v>
      </c>
      <c r="G459" s="14">
        <f t="shared" si="64"/>
        <v>7</v>
      </c>
      <c r="H459" s="15">
        <f t="shared" si="65"/>
        <v>1521.7391304347825</v>
      </c>
      <c r="I459" s="15">
        <f t="shared" si="66"/>
        <v>35000</v>
      </c>
      <c r="J459" s="14">
        <f t="shared" si="67"/>
        <v>4200</v>
      </c>
      <c r="K459" s="15">
        <f t="shared" si="68"/>
        <v>262.5</v>
      </c>
      <c r="L459" s="15">
        <f t="shared" si="69"/>
        <v>30537.5</v>
      </c>
      <c r="M459" s="14"/>
      <c r="N459" s="14"/>
    </row>
    <row r="460" ht="14.25">
      <c r="A460" s="14">
        <v>458</v>
      </c>
      <c r="B460" s="14" t="str">
        <f t="shared" si="63"/>
        <v>Empl_458</v>
      </c>
      <c r="C460" s="14" t="s">
        <v>10</v>
      </c>
      <c r="D460" s="14">
        <v>44000</v>
      </c>
      <c r="E460" s="14">
        <f t="shared" ca="1" si="70"/>
        <v>30</v>
      </c>
      <c r="F460" s="14">
        <v>23</v>
      </c>
      <c r="G460" s="14">
        <f t="shared" si="64"/>
        <v>7</v>
      </c>
      <c r="H460" s="15">
        <f t="shared" si="65"/>
        <v>1913.0434782608695</v>
      </c>
      <c r="I460" s="15">
        <f t="shared" si="66"/>
        <v>44000</v>
      </c>
      <c r="J460" s="14">
        <f t="shared" si="67"/>
        <v>5280</v>
      </c>
      <c r="K460" s="15">
        <f t="shared" si="68"/>
        <v>330</v>
      </c>
      <c r="L460" s="15">
        <f t="shared" si="69"/>
        <v>38390</v>
      </c>
      <c r="M460" s="14"/>
      <c r="N460" s="14"/>
    </row>
    <row r="461" ht="14.25">
      <c r="A461" s="14">
        <v>459</v>
      </c>
      <c r="B461" s="14" t="str">
        <f t="shared" si="63"/>
        <v>Empl_459</v>
      </c>
      <c r="C461" s="14" t="s">
        <v>13</v>
      </c>
      <c r="D461" s="14">
        <v>15000</v>
      </c>
      <c r="E461" s="14">
        <f t="shared" ca="1" si="70"/>
        <v>30</v>
      </c>
      <c r="F461" s="14">
        <v>26</v>
      </c>
      <c r="G461" s="14">
        <f t="shared" si="64"/>
        <v>4</v>
      </c>
      <c r="H461" s="15">
        <f t="shared" si="65"/>
        <v>576.92307692307691</v>
      </c>
      <c r="I461" s="15">
        <f t="shared" si="66"/>
        <v>15000</v>
      </c>
      <c r="J461" s="14">
        <f t="shared" si="67"/>
        <v>1800</v>
      </c>
      <c r="K461" s="15">
        <f t="shared" si="68"/>
        <v>112.5</v>
      </c>
      <c r="L461" s="15">
        <f t="shared" si="69"/>
        <v>13087.5</v>
      </c>
      <c r="M461" s="14"/>
      <c r="N461" s="14"/>
    </row>
    <row r="462" ht="14.25">
      <c r="A462" s="14">
        <v>460</v>
      </c>
      <c r="B462" s="14" t="str">
        <f t="shared" si="63"/>
        <v>Empl_460</v>
      </c>
      <c r="C462" s="14" t="s">
        <v>9</v>
      </c>
      <c r="D462" s="14">
        <v>51000</v>
      </c>
      <c r="E462" s="14">
        <f t="shared" ca="1" si="70"/>
        <v>30</v>
      </c>
      <c r="F462" s="14">
        <v>22</v>
      </c>
      <c r="G462" s="14">
        <f t="shared" si="64"/>
        <v>8</v>
      </c>
      <c r="H462" s="15">
        <f t="shared" si="65"/>
        <v>2318.181818181818</v>
      </c>
      <c r="I462" s="15">
        <f t="shared" si="66"/>
        <v>51000</v>
      </c>
      <c r="J462" s="14">
        <f t="shared" si="67"/>
        <v>6120</v>
      </c>
      <c r="K462" s="15">
        <f t="shared" si="68"/>
        <v>382.5</v>
      </c>
      <c r="L462" s="15">
        <f t="shared" si="69"/>
        <v>44497.5</v>
      </c>
      <c r="M462" s="14"/>
      <c r="N462" s="14"/>
    </row>
    <row r="463" ht="14.25">
      <c r="A463" s="14">
        <v>461</v>
      </c>
      <c r="B463" s="14" t="str">
        <f t="shared" si="63"/>
        <v>Empl_461</v>
      </c>
      <c r="C463" s="14" t="s">
        <v>11</v>
      </c>
      <c r="D463" s="14">
        <v>52000</v>
      </c>
      <c r="E463" s="14">
        <f t="shared" ca="1" si="70"/>
        <v>30</v>
      </c>
      <c r="F463" s="14">
        <v>27</v>
      </c>
      <c r="G463" s="14">
        <f t="shared" si="64"/>
        <v>3</v>
      </c>
      <c r="H463" s="15">
        <f t="shared" si="65"/>
        <v>1925.9259259259259</v>
      </c>
      <c r="I463" s="15">
        <f t="shared" si="66"/>
        <v>52000</v>
      </c>
      <c r="J463" s="14">
        <f t="shared" si="67"/>
        <v>6240</v>
      </c>
      <c r="K463" s="15">
        <f t="shared" si="68"/>
        <v>390</v>
      </c>
      <c r="L463" s="15">
        <f t="shared" si="69"/>
        <v>45370</v>
      </c>
      <c r="M463" s="14"/>
      <c r="N463" s="14"/>
    </row>
    <row r="464" ht="14.25">
      <c r="A464" s="14">
        <v>462</v>
      </c>
      <c r="B464" s="14" t="str">
        <f t="shared" si="63"/>
        <v>Empl_462</v>
      </c>
      <c r="C464" s="14" t="s">
        <v>8</v>
      </c>
      <c r="D464" s="14">
        <v>56000</v>
      </c>
      <c r="E464" s="14">
        <f t="shared" ca="1" si="70"/>
        <v>30</v>
      </c>
      <c r="F464" s="14">
        <v>28</v>
      </c>
      <c r="G464" s="14">
        <f t="shared" si="64"/>
        <v>2</v>
      </c>
      <c r="H464" s="15">
        <f t="shared" si="65"/>
        <v>2000</v>
      </c>
      <c r="I464" s="15">
        <f t="shared" si="66"/>
        <v>56000</v>
      </c>
      <c r="J464" s="14">
        <f t="shared" si="67"/>
        <v>6720</v>
      </c>
      <c r="K464" s="15">
        <f t="shared" si="68"/>
        <v>420</v>
      </c>
      <c r="L464" s="15">
        <f t="shared" si="69"/>
        <v>48860</v>
      </c>
      <c r="M464" s="14"/>
      <c r="N464" s="14"/>
    </row>
    <row r="465" ht="14.25">
      <c r="A465" s="14">
        <v>463</v>
      </c>
      <c r="B465" s="14" t="str">
        <f t="shared" si="63"/>
        <v>Empl_463</v>
      </c>
      <c r="C465" s="14" t="s">
        <v>12</v>
      </c>
      <c r="D465" s="14">
        <v>25000</v>
      </c>
      <c r="E465" s="14">
        <f t="shared" ca="1" si="70"/>
        <v>30</v>
      </c>
      <c r="F465" s="14">
        <v>26</v>
      </c>
      <c r="G465" s="14">
        <f t="shared" si="64"/>
        <v>4</v>
      </c>
      <c r="H465" s="15">
        <f t="shared" si="65"/>
        <v>961.53846153846155</v>
      </c>
      <c r="I465" s="15">
        <f t="shared" si="66"/>
        <v>25000</v>
      </c>
      <c r="J465" s="14">
        <f t="shared" si="67"/>
        <v>3000</v>
      </c>
      <c r="K465" s="15">
        <f t="shared" si="68"/>
        <v>187.5</v>
      </c>
      <c r="L465" s="15">
        <f t="shared" si="69"/>
        <v>21812.5</v>
      </c>
      <c r="M465" s="14"/>
      <c r="N465" s="14"/>
    </row>
    <row r="466" ht="14.25">
      <c r="A466" s="14">
        <v>464</v>
      </c>
      <c r="B466" s="14" t="str">
        <f t="shared" si="63"/>
        <v>Empl_464</v>
      </c>
      <c r="C466" s="14" t="s">
        <v>10</v>
      </c>
      <c r="D466" s="14">
        <v>54000</v>
      </c>
      <c r="E466" s="14">
        <f t="shared" ca="1" si="70"/>
        <v>30</v>
      </c>
      <c r="F466" s="14">
        <v>29</v>
      </c>
      <c r="G466" s="14">
        <f t="shared" si="64"/>
        <v>1</v>
      </c>
      <c r="H466" s="15">
        <f t="shared" si="65"/>
        <v>1862.0689655172414</v>
      </c>
      <c r="I466" s="15">
        <f t="shared" si="66"/>
        <v>54000</v>
      </c>
      <c r="J466" s="14">
        <f t="shared" si="67"/>
        <v>6480</v>
      </c>
      <c r="K466" s="15">
        <f t="shared" si="68"/>
        <v>405</v>
      </c>
      <c r="L466" s="15">
        <f t="shared" si="69"/>
        <v>47115</v>
      </c>
      <c r="M466" s="14"/>
      <c r="N466" s="14"/>
    </row>
    <row r="467" ht="14.25">
      <c r="A467" s="14">
        <v>465</v>
      </c>
      <c r="B467" s="14" t="str">
        <f t="shared" si="63"/>
        <v>Empl_465</v>
      </c>
      <c r="C467" s="14" t="s">
        <v>13</v>
      </c>
      <c r="D467" s="14">
        <v>55000</v>
      </c>
      <c r="E467" s="14">
        <f t="shared" ca="1" si="70"/>
        <v>30</v>
      </c>
      <c r="F467" s="14">
        <v>30</v>
      </c>
      <c r="G467" s="14">
        <f t="shared" si="64"/>
        <v>0</v>
      </c>
      <c r="H467" s="15">
        <f t="shared" si="65"/>
        <v>1833.3333333333333</v>
      </c>
      <c r="I467" s="15">
        <f t="shared" si="66"/>
        <v>55000</v>
      </c>
      <c r="J467" s="14">
        <f t="shared" si="67"/>
        <v>6600</v>
      </c>
      <c r="K467" s="15">
        <f t="shared" si="68"/>
        <v>412.5</v>
      </c>
      <c r="L467" s="15">
        <f t="shared" si="69"/>
        <v>47987.5</v>
      </c>
      <c r="M467" s="14"/>
      <c r="N467" s="14"/>
    </row>
    <row r="468" ht="14.25">
      <c r="A468" s="14">
        <v>466</v>
      </c>
      <c r="B468" s="14" t="str">
        <f t="shared" si="63"/>
        <v>Empl_466</v>
      </c>
      <c r="C468" s="14" t="s">
        <v>9</v>
      </c>
      <c r="D468" s="14">
        <v>23000</v>
      </c>
      <c r="E468" s="14">
        <f t="shared" ca="1" si="70"/>
        <v>30</v>
      </c>
      <c r="F468" s="14">
        <v>25</v>
      </c>
      <c r="G468" s="14">
        <f t="shared" si="64"/>
        <v>5</v>
      </c>
      <c r="H468" s="15">
        <f t="shared" si="65"/>
        <v>920</v>
      </c>
      <c r="I468" s="15">
        <f t="shared" si="66"/>
        <v>23000</v>
      </c>
      <c r="J468" s="14">
        <f t="shared" si="67"/>
        <v>2760</v>
      </c>
      <c r="K468" s="15">
        <f t="shared" si="68"/>
        <v>172.5</v>
      </c>
      <c r="L468" s="15">
        <f t="shared" si="69"/>
        <v>20067.5</v>
      </c>
      <c r="M468" s="14"/>
      <c r="N468" s="14"/>
    </row>
    <row r="469" ht="14.25">
      <c r="A469" s="14">
        <v>467</v>
      </c>
      <c r="B469" s="14" t="str">
        <f t="shared" si="63"/>
        <v>Empl_467</v>
      </c>
      <c r="C469" s="14" t="s">
        <v>11</v>
      </c>
      <c r="D469" s="14">
        <v>15000</v>
      </c>
      <c r="E469" s="14">
        <f t="shared" ca="1" si="70"/>
        <v>30</v>
      </c>
      <c r="F469" s="14">
        <v>30</v>
      </c>
      <c r="G469" s="14">
        <f t="shared" si="64"/>
        <v>0</v>
      </c>
      <c r="H469" s="15">
        <f t="shared" si="65"/>
        <v>500</v>
      </c>
      <c r="I469" s="15">
        <f t="shared" si="66"/>
        <v>15000</v>
      </c>
      <c r="J469" s="14">
        <f t="shared" si="67"/>
        <v>1800</v>
      </c>
      <c r="K469" s="15">
        <f t="shared" si="68"/>
        <v>112.5</v>
      </c>
      <c r="L469" s="15">
        <f t="shared" si="69"/>
        <v>13087.5</v>
      </c>
      <c r="M469" s="14"/>
      <c r="N469" s="14"/>
    </row>
    <row r="470" ht="14.25">
      <c r="A470" s="14">
        <v>468</v>
      </c>
      <c r="B470" s="14" t="str">
        <f t="shared" si="63"/>
        <v>Empl_468</v>
      </c>
      <c r="C470" s="14" t="s">
        <v>8</v>
      </c>
      <c r="D470" s="14">
        <v>53000</v>
      </c>
      <c r="E470" s="14">
        <f t="shared" ca="1" si="70"/>
        <v>30</v>
      </c>
      <c r="F470" s="14">
        <v>27</v>
      </c>
      <c r="G470" s="14">
        <f t="shared" si="64"/>
        <v>3</v>
      </c>
      <c r="H470" s="15">
        <f t="shared" si="65"/>
        <v>1962.962962962963</v>
      </c>
      <c r="I470" s="15">
        <f t="shared" si="66"/>
        <v>53000</v>
      </c>
      <c r="J470" s="14">
        <f t="shared" si="67"/>
        <v>6360</v>
      </c>
      <c r="K470" s="15">
        <f t="shared" si="68"/>
        <v>397.5</v>
      </c>
      <c r="L470" s="15">
        <f t="shared" si="69"/>
        <v>46242.5</v>
      </c>
      <c r="M470" s="14"/>
      <c r="N470" s="14"/>
    </row>
    <row r="471" ht="14.25">
      <c r="A471" s="14">
        <v>469</v>
      </c>
      <c r="B471" s="14" t="str">
        <f t="shared" si="63"/>
        <v>Empl_469</v>
      </c>
      <c r="C471" s="14" t="s">
        <v>12</v>
      </c>
      <c r="D471" s="14">
        <v>52000</v>
      </c>
      <c r="E471" s="14">
        <f t="shared" ca="1" si="70"/>
        <v>30</v>
      </c>
      <c r="F471" s="14">
        <v>24</v>
      </c>
      <c r="G471" s="14">
        <f t="shared" si="64"/>
        <v>6</v>
      </c>
      <c r="H471" s="15">
        <f t="shared" si="65"/>
        <v>2166.6666666666665</v>
      </c>
      <c r="I471" s="15">
        <f t="shared" si="66"/>
        <v>52000</v>
      </c>
      <c r="J471" s="14">
        <f t="shared" si="67"/>
        <v>6240</v>
      </c>
      <c r="K471" s="15">
        <f t="shared" si="68"/>
        <v>390</v>
      </c>
      <c r="L471" s="15">
        <f t="shared" si="69"/>
        <v>45370</v>
      </c>
      <c r="M471" s="14"/>
      <c r="N471" s="14"/>
    </row>
    <row r="472" ht="14.25">
      <c r="A472" s="14">
        <v>470</v>
      </c>
      <c r="B472" s="14" t="str">
        <f t="shared" si="63"/>
        <v>Empl_470</v>
      </c>
      <c r="C472" s="14" t="s">
        <v>10</v>
      </c>
      <c r="D472" s="14">
        <v>36000</v>
      </c>
      <c r="E472" s="14">
        <f t="shared" ca="1" si="70"/>
        <v>30</v>
      </c>
      <c r="F472" s="14">
        <v>30</v>
      </c>
      <c r="G472" s="14">
        <f t="shared" si="64"/>
        <v>0</v>
      </c>
      <c r="H472" s="15">
        <f t="shared" si="65"/>
        <v>1200</v>
      </c>
      <c r="I472" s="15">
        <f t="shared" si="66"/>
        <v>36000</v>
      </c>
      <c r="J472" s="14">
        <f t="shared" si="67"/>
        <v>4320</v>
      </c>
      <c r="K472" s="15">
        <f t="shared" si="68"/>
        <v>270</v>
      </c>
      <c r="L472" s="15">
        <f t="shared" si="69"/>
        <v>31410</v>
      </c>
      <c r="M472" s="14"/>
      <c r="N472" s="14"/>
    </row>
    <row r="473" ht="14.25">
      <c r="A473" s="14">
        <v>471</v>
      </c>
      <c r="B473" s="14" t="str">
        <f t="shared" si="63"/>
        <v>Empl_471</v>
      </c>
      <c r="C473" s="14" t="s">
        <v>13</v>
      </c>
      <c r="D473" s="14">
        <v>58000</v>
      </c>
      <c r="E473" s="14">
        <f t="shared" ca="1" si="70"/>
        <v>30</v>
      </c>
      <c r="F473" s="14">
        <v>30</v>
      </c>
      <c r="G473" s="14">
        <f t="shared" si="64"/>
        <v>0</v>
      </c>
      <c r="H473" s="15">
        <f t="shared" si="65"/>
        <v>1933.3333333333333</v>
      </c>
      <c r="I473" s="15">
        <f t="shared" si="66"/>
        <v>58000</v>
      </c>
      <c r="J473" s="14">
        <f t="shared" si="67"/>
        <v>6960</v>
      </c>
      <c r="K473" s="15">
        <f t="shared" si="68"/>
        <v>435</v>
      </c>
      <c r="L473" s="15">
        <f t="shared" si="69"/>
        <v>50605</v>
      </c>
      <c r="M473" s="14"/>
      <c r="N473" s="14"/>
    </row>
    <row r="474" ht="14.25">
      <c r="A474" s="14">
        <v>472</v>
      </c>
      <c r="B474" s="14" t="str">
        <f t="shared" si="63"/>
        <v>Empl_472</v>
      </c>
      <c r="C474" s="14" t="s">
        <v>9</v>
      </c>
      <c r="D474" s="14">
        <v>60000</v>
      </c>
      <c r="E474" s="14">
        <f t="shared" ca="1" si="70"/>
        <v>30</v>
      </c>
      <c r="F474" s="14">
        <v>24</v>
      </c>
      <c r="G474" s="14">
        <f t="shared" si="64"/>
        <v>6</v>
      </c>
      <c r="H474" s="15">
        <f t="shared" si="65"/>
        <v>2500</v>
      </c>
      <c r="I474" s="15">
        <f t="shared" si="66"/>
        <v>60000</v>
      </c>
      <c r="J474" s="14">
        <f t="shared" si="67"/>
        <v>7200</v>
      </c>
      <c r="K474" s="15">
        <f t="shared" si="68"/>
        <v>450</v>
      </c>
      <c r="L474" s="15">
        <f t="shared" si="69"/>
        <v>52350</v>
      </c>
      <c r="M474" s="14"/>
      <c r="N474" s="14"/>
    </row>
    <row r="475" ht="14.25">
      <c r="A475" s="14">
        <v>473</v>
      </c>
      <c r="B475" s="14" t="str">
        <f t="shared" si="63"/>
        <v>Empl_473</v>
      </c>
      <c r="C475" s="14" t="s">
        <v>11</v>
      </c>
      <c r="D475" s="14">
        <v>47000</v>
      </c>
      <c r="E475" s="14">
        <f t="shared" ca="1" si="70"/>
        <v>30</v>
      </c>
      <c r="F475" s="14">
        <v>20</v>
      </c>
      <c r="G475" s="14">
        <f t="shared" si="64"/>
        <v>10</v>
      </c>
      <c r="H475" s="15">
        <f t="shared" si="65"/>
        <v>2350</v>
      </c>
      <c r="I475" s="15">
        <f t="shared" si="66"/>
        <v>47000</v>
      </c>
      <c r="J475" s="14">
        <f t="shared" si="67"/>
        <v>5640</v>
      </c>
      <c r="K475" s="15">
        <f t="shared" si="68"/>
        <v>352.5</v>
      </c>
      <c r="L475" s="15">
        <f t="shared" si="69"/>
        <v>41007.5</v>
      </c>
      <c r="M475" s="14"/>
      <c r="N475" s="14"/>
    </row>
    <row r="476" ht="14.25">
      <c r="A476" s="14">
        <v>474</v>
      </c>
      <c r="B476" s="14" t="str">
        <f t="shared" si="63"/>
        <v>Empl_474</v>
      </c>
      <c r="C476" s="14" t="s">
        <v>8</v>
      </c>
      <c r="D476" s="14">
        <v>24000</v>
      </c>
      <c r="E476" s="14">
        <f t="shared" ca="1" si="70"/>
        <v>30</v>
      </c>
      <c r="F476" s="14">
        <v>20</v>
      </c>
      <c r="G476" s="14">
        <f t="shared" si="64"/>
        <v>10</v>
      </c>
      <c r="H476" s="15">
        <f t="shared" si="65"/>
        <v>1200</v>
      </c>
      <c r="I476" s="15">
        <f t="shared" si="66"/>
        <v>24000</v>
      </c>
      <c r="J476" s="14">
        <f t="shared" si="67"/>
        <v>2880</v>
      </c>
      <c r="K476" s="15">
        <f t="shared" si="68"/>
        <v>180</v>
      </c>
      <c r="L476" s="15">
        <f t="shared" si="69"/>
        <v>20940</v>
      </c>
      <c r="M476" s="14"/>
      <c r="N476" s="14"/>
    </row>
    <row r="477" ht="14.25">
      <c r="A477" s="14">
        <v>475</v>
      </c>
      <c r="B477" s="14" t="str">
        <f t="shared" si="63"/>
        <v>Empl_475</v>
      </c>
      <c r="C477" s="14" t="s">
        <v>12</v>
      </c>
      <c r="D477" s="14">
        <v>51000</v>
      </c>
      <c r="E477" s="14">
        <f t="shared" ca="1" si="70"/>
        <v>30</v>
      </c>
      <c r="F477" s="14">
        <v>24</v>
      </c>
      <c r="G477" s="14">
        <f t="shared" si="64"/>
        <v>6</v>
      </c>
      <c r="H477" s="15">
        <f t="shared" si="65"/>
        <v>2125</v>
      </c>
      <c r="I477" s="15">
        <f t="shared" si="66"/>
        <v>51000</v>
      </c>
      <c r="J477" s="14">
        <f t="shared" si="67"/>
        <v>6120</v>
      </c>
      <c r="K477" s="15">
        <f t="shared" si="68"/>
        <v>382.5</v>
      </c>
      <c r="L477" s="15">
        <f t="shared" si="69"/>
        <v>44497.5</v>
      </c>
      <c r="M477" s="14"/>
      <c r="N477" s="14"/>
    </row>
    <row r="478" ht="14.25">
      <c r="A478" s="14">
        <v>476</v>
      </c>
      <c r="B478" s="14" t="str">
        <f t="shared" si="63"/>
        <v>Empl_476</v>
      </c>
      <c r="C478" s="14" t="s">
        <v>10</v>
      </c>
      <c r="D478" s="14">
        <v>43000</v>
      </c>
      <c r="E478" s="14">
        <f t="shared" ca="1" si="70"/>
        <v>30</v>
      </c>
      <c r="F478" s="14">
        <v>29</v>
      </c>
      <c r="G478" s="14">
        <f t="shared" si="64"/>
        <v>1</v>
      </c>
      <c r="H478" s="15">
        <f t="shared" si="65"/>
        <v>1482.7586206896551</v>
      </c>
      <c r="I478" s="15">
        <f t="shared" si="66"/>
        <v>43000</v>
      </c>
      <c r="J478" s="14">
        <f t="shared" si="67"/>
        <v>5160</v>
      </c>
      <c r="K478" s="15">
        <f t="shared" si="68"/>
        <v>322.5</v>
      </c>
      <c r="L478" s="15">
        <f t="shared" si="69"/>
        <v>37517.5</v>
      </c>
      <c r="M478" s="14"/>
      <c r="N478" s="14"/>
    </row>
    <row r="479" ht="14.25">
      <c r="A479" s="14">
        <v>477</v>
      </c>
      <c r="B479" s="14" t="str">
        <f t="shared" si="63"/>
        <v>Empl_477</v>
      </c>
      <c r="C479" s="14" t="s">
        <v>13</v>
      </c>
      <c r="D479" s="14">
        <v>50000</v>
      </c>
      <c r="E479" s="14">
        <f t="shared" ca="1" si="70"/>
        <v>30</v>
      </c>
      <c r="F479" s="14">
        <v>29</v>
      </c>
      <c r="G479" s="14">
        <f t="shared" si="64"/>
        <v>1</v>
      </c>
      <c r="H479" s="15">
        <f t="shared" si="65"/>
        <v>1724.1379310344828</v>
      </c>
      <c r="I479" s="15">
        <f t="shared" si="66"/>
        <v>50000</v>
      </c>
      <c r="J479" s="14">
        <f t="shared" si="67"/>
        <v>6000</v>
      </c>
      <c r="K479" s="15">
        <f t="shared" si="68"/>
        <v>375</v>
      </c>
      <c r="L479" s="15">
        <f t="shared" si="69"/>
        <v>43625</v>
      </c>
      <c r="M479" s="14"/>
      <c r="N479" s="14"/>
    </row>
    <row r="480" ht="14.25">
      <c r="A480" s="14">
        <v>478</v>
      </c>
      <c r="B480" s="14" t="str">
        <f t="shared" si="63"/>
        <v>Empl_478</v>
      </c>
      <c r="C480" s="14" t="s">
        <v>9</v>
      </c>
      <c r="D480" s="14">
        <v>32000</v>
      </c>
      <c r="E480" s="14">
        <f t="shared" ca="1" si="70"/>
        <v>30</v>
      </c>
      <c r="F480" s="14">
        <v>27</v>
      </c>
      <c r="G480" s="14">
        <f t="shared" si="64"/>
        <v>3</v>
      </c>
      <c r="H480" s="15">
        <f t="shared" si="65"/>
        <v>1185.1851851851852</v>
      </c>
      <c r="I480" s="15">
        <f t="shared" si="66"/>
        <v>32000</v>
      </c>
      <c r="J480" s="14">
        <f t="shared" si="67"/>
        <v>3840</v>
      </c>
      <c r="K480" s="15">
        <f t="shared" si="68"/>
        <v>240</v>
      </c>
      <c r="L480" s="15">
        <f t="shared" si="69"/>
        <v>27920</v>
      </c>
      <c r="M480" s="14"/>
      <c r="N480" s="14"/>
    </row>
    <row r="481" ht="14.25">
      <c r="A481" s="14">
        <v>479</v>
      </c>
      <c r="B481" s="14" t="str">
        <f t="shared" si="63"/>
        <v>Empl_479</v>
      </c>
      <c r="C481" s="14" t="s">
        <v>11</v>
      </c>
      <c r="D481" s="14">
        <v>20000</v>
      </c>
      <c r="E481" s="14">
        <f t="shared" ca="1" si="70"/>
        <v>30</v>
      </c>
      <c r="F481" s="14">
        <v>21</v>
      </c>
      <c r="G481" s="14">
        <f t="shared" si="64"/>
        <v>9</v>
      </c>
      <c r="H481" s="15">
        <f t="shared" si="65"/>
        <v>952.38095238095241</v>
      </c>
      <c r="I481" s="15">
        <f t="shared" si="66"/>
        <v>20000</v>
      </c>
      <c r="J481" s="14">
        <f t="shared" si="67"/>
        <v>2400</v>
      </c>
      <c r="K481" s="15">
        <f t="shared" si="68"/>
        <v>150</v>
      </c>
      <c r="L481" s="15">
        <f t="shared" si="69"/>
        <v>17450</v>
      </c>
      <c r="M481" s="14"/>
      <c r="N481" s="14"/>
    </row>
    <row r="482" ht="14.25">
      <c r="A482" s="14">
        <v>480</v>
      </c>
      <c r="B482" s="14" t="str">
        <f t="shared" si="63"/>
        <v>Empl_480</v>
      </c>
      <c r="C482" s="14" t="s">
        <v>8</v>
      </c>
      <c r="D482" s="14">
        <v>16000</v>
      </c>
      <c r="E482" s="14">
        <f t="shared" ca="1" si="70"/>
        <v>30</v>
      </c>
      <c r="F482" s="14">
        <v>21</v>
      </c>
      <c r="G482" s="14">
        <f t="shared" si="64"/>
        <v>9</v>
      </c>
      <c r="H482" s="15">
        <f t="shared" si="65"/>
        <v>761.90476190476193</v>
      </c>
      <c r="I482" s="15">
        <f t="shared" si="66"/>
        <v>16000</v>
      </c>
      <c r="J482" s="14">
        <f t="shared" si="67"/>
        <v>1920</v>
      </c>
      <c r="K482" s="15">
        <f t="shared" si="68"/>
        <v>120</v>
      </c>
      <c r="L482" s="15">
        <f t="shared" si="69"/>
        <v>13960</v>
      </c>
      <c r="M482" s="14"/>
      <c r="N482" s="14"/>
    </row>
    <row r="483" ht="14.25">
      <c r="A483" s="14">
        <v>481</v>
      </c>
      <c r="B483" s="14" t="str">
        <f t="shared" si="63"/>
        <v>Empl_481</v>
      </c>
      <c r="C483" s="14" t="s">
        <v>12</v>
      </c>
      <c r="D483" s="14">
        <v>46000</v>
      </c>
      <c r="E483" s="14">
        <f t="shared" ca="1" si="70"/>
        <v>30</v>
      </c>
      <c r="F483" s="14">
        <v>21</v>
      </c>
      <c r="G483" s="14">
        <f t="shared" si="64"/>
        <v>9</v>
      </c>
      <c r="H483" s="15">
        <f t="shared" si="65"/>
        <v>2190.4761904761904</v>
      </c>
      <c r="I483" s="15">
        <f t="shared" si="66"/>
        <v>46000</v>
      </c>
      <c r="J483" s="14">
        <f t="shared" si="67"/>
        <v>5520</v>
      </c>
      <c r="K483" s="15">
        <f t="shared" si="68"/>
        <v>345</v>
      </c>
      <c r="L483" s="15">
        <f t="shared" si="69"/>
        <v>40135</v>
      </c>
      <c r="M483" s="14"/>
      <c r="N483" s="14"/>
    </row>
    <row r="484" ht="14.25">
      <c r="A484" s="14">
        <v>482</v>
      </c>
      <c r="B484" s="14" t="str">
        <f t="shared" ref="B484:B547" si="71">"Empl_"&amp;A484</f>
        <v>Empl_482</v>
      </c>
      <c r="C484" s="14" t="s">
        <v>10</v>
      </c>
      <c r="D484" s="14">
        <v>49000</v>
      </c>
      <c r="E484" s="14">
        <f t="shared" ca="1" si="70"/>
        <v>30</v>
      </c>
      <c r="F484" s="14">
        <v>26</v>
      </c>
      <c r="G484" s="14">
        <f t="shared" ref="G484:G547" si="72">E484-F484</f>
        <v>4</v>
      </c>
      <c r="H484" s="15">
        <f t="shared" ref="H484:H547" si="73">D484/F484</f>
        <v>1884.6153846153845</v>
      </c>
      <c r="I484" s="15">
        <f t="shared" ref="I484:I547" si="74">H484*F484</f>
        <v>49000</v>
      </c>
      <c r="J484" s="14">
        <f t="shared" ref="J484:J547" si="75">I484*12%</f>
        <v>5880</v>
      </c>
      <c r="K484" s="15">
        <f t="shared" ref="K484:K547" si="76">I484*0.75%</f>
        <v>367.5</v>
      </c>
      <c r="L484" s="15">
        <f t="shared" ref="L484:L547" si="77">I484-(J484+K484)</f>
        <v>42752.5</v>
      </c>
      <c r="M484" s="14"/>
      <c r="N484" s="14"/>
    </row>
    <row r="485" ht="14.25">
      <c r="A485" s="14">
        <v>483</v>
      </c>
      <c r="B485" s="14" t="str">
        <f t="shared" si="71"/>
        <v>Empl_483</v>
      </c>
      <c r="C485" s="14" t="s">
        <v>13</v>
      </c>
      <c r="D485" s="14">
        <v>21000</v>
      </c>
      <c r="E485" s="14">
        <f t="shared" ca="1" si="70"/>
        <v>30</v>
      </c>
      <c r="F485" s="14">
        <v>27</v>
      </c>
      <c r="G485" s="14">
        <f t="shared" si="72"/>
        <v>3</v>
      </c>
      <c r="H485" s="15">
        <f t="shared" si="73"/>
        <v>777.77777777777783</v>
      </c>
      <c r="I485" s="15">
        <f t="shared" si="74"/>
        <v>21000</v>
      </c>
      <c r="J485" s="14">
        <f t="shared" si="75"/>
        <v>2520</v>
      </c>
      <c r="K485" s="15">
        <f t="shared" si="76"/>
        <v>157.5</v>
      </c>
      <c r="L485" s="15">
        <f t="shared" si="77"/>
        <v>18322.5</v>
      </c>
      <c r="M485" s="14"/>
      <c r="N485" s="14"/>
    </row>
    <row r="486" ht="14.25">
      <c r="A486" s="14">
        <v>484</v>
      </c>
      <c r="B486" s="14" t="str">
        <f t="shared" si="71"/>
        <v>Empl_484</v>
      </c>
      <c r="C486" s="14" t="s">
        <v>9</v>
      </c>
      <c r="D486" s="14">
        <v>20000</v>
      </c>
      <c r="E486" s="14">
        <f t="shared" ca="1" si="70"/>
        <v>30</v>
      </c>
      <c r="F486" s="14">
        <v>26</v>
      </c>
      <c r="G486" s="14">
        <f t="shared" si="72"/>
        <v>4</v>
      </c>
      <c r="H486" s="15">
        <f t="shared" si="73"/>
        <v>769.23076923076928</v>
      </c>
      <c r="I486" s="15">
        <f t="shared" si="74"/>
        <v>20000</v>
      </c>
      <c r="J486" s="14">
        <f t="shared" si="75"/>
        <v>2400</v>
      </c>
      <c r="K486" s="15">
        <f t="shared" si="76"/>
        <v>150</v>
      </c>
      <c r="L486" s="15">
        <f t="shared" si="77"/>
        <v>17450</v>
      </c>
      <c r="M486" s="14"/>
      <c r="N486" s="14"/>
    </row>
    <row r="487" ht="14.25">
      <c r="A487" s="14">
        <v>485</v>
      </c>
      <c r="B487" s="14" t="str">
        <f t="shared" si="71"/>
        <v>Empl_485</v>
      </c>
      <c r="C487" s="14" t="s">
        <v>11</v>
      </c>
      <c r="D487" s="14">
        <v>19000</v>
      </c>
      <c r="E487" s="14">
        <f t="shared" ca="1" si="70"/>
        <v>30</v>
      </c>
      <c r="F487" s="14">
        <v>29</v>
      </c>
      <c r="G487" s="14">
        <f t="shared" si="72"/>
        <v>1</v>
      </c>
      <c r="H487" s="15">
        <f t="shared" si="73"/>
        <v>655.17241379310349</v>
      </c>
      <c r="I487" s="15">
        <f t="shared" si="74"/>
        <v>19000</v>
      </c>
      <c r="J487" s="14">
        <f t="shared" si="75"/>
        <v>2280</v>
      </c>
      <c r="K487" s="15">
        <f t="shared" si="76"/>
        <v>142.5</v>
      </c>
      <c r="L487" s="15">
        <f t="shared" si="77"/>
        <v>16577.5</v>
      </c>
      <c r="M487" s="14"/>
      <c r="N487" s="14"/>
    </row>
    <row r="488" ht="14.25">
      <c r="A488" s="14">
        <v>486</v>
      </c>
      <c r="B488" s="14" t="str">
        <f t="shared" si="71"/>
        <v>Empl_486</v>
      </c>
      <c r="C488" s="14" t="s">
        <v>8</v>
      </c>
      <c r="D488" s="14">
        <v>45000</v>
      </c>
      <c r="E488" s="14">
        <f t="shared" ca="1" si="70"/>
        <v>30</v>
      </c>
      <c r="F488" s="14">
        <v>29</v>
      </c>
      <c r="G488" s="14">
        <f t="shared" si="72"/>
        <v>1</v>
      </c>
      <c r="H488" s="15">
        <f t="shared" si="73"/>
        <v>1551.7241379310344</v>
      </c>
      <c r="I488" s="15">
        <f t="shared" si="74"/>
        <v>45000</v>
      </c>
      <c r="J488" s="14">
        <f t="shared" si="75"/>
        <v>5400</v>
      </c>
      <c r="K488" s="15">
        <f t="shared" si="76"/>
        <v>337.5</v>
      </c>
      <c r="L488" s="15">
        <f t="shared" si="77"/>
        <v>39262.5</v>
      </c>
      <c r="M488" s="14"/>
      <c r="N488" s="14"/>
    </row>
    <row r="489" ht="14.25">
      <c r="A489" s="14">
        <v>487</v>
      </c>
      <c r="B489" s="14" t="str">
        <f t="shared" si="71"/>
        <v>Empl_487</v>
      </c>
      <c r="C489" s="14" t="s">
        <v>12</v>
      </c>
      <c r="D489" s="14">
        <v>51000</v>
      </c>
      <c r="E489" s="14">
        <f t="shared" ca="1" si="70"/>
        <v>30</v>
      </c>
      <c r="F489" s="14">
        <v>22</v>
      </c>
      <c r="G489" s="14">
        <f t="shared" si="72"/>
        <v>8</v>
      </c>
      <c r="H489" s="15">
        <f t="shared" si="73"/>
        <v>2318.181818181818</v>
      </c>
      <c r="I489" s="15">
        <f t="shared" si="74"/>
        <v>51000</v>
      </c>
      <c r="J489" s="14">
        <f t="shared" si="75"/>
        <v>6120</v>
      </c>
      <c r="K489" s="15">
        <f t="shared" si="76"/>
        <v>382.5</v>
      </c>
      <c r="L489" s="15">
        <f t="shared" si="77"/>
        <v>44497.5</v>
      </c>
      <c r="M489" s="14"/>
      <c r="N489" s="14"/>
    </row>
    <row r="490" ht="14.25">
      <c r="A490" s="14">
        <v>488</v>
      </c>
      <c r="B490" s="14" t="str">
        <f t="shared" si="71"/>
        <v>Empl_488</v>
      </c>
      <c r="C490" s="14" t="s">
        <v>10</v>
      </c>
      <c r="D490" s="14">
        <v>37000</v>
      </c>
      <c r="E490" s="14">
        <f t="shared" ca="1" si="70"/>
        <v>30</v>
      </c>
      <c r="F490" s="14">
        <v>20</v>
      </c>
      <c r="G490" s="14">
        <f t="shared" si="72"/>
        <v>10</v>
      </c>
      <c r="H490" s="15">
        <f t="shared" si="73"/>
        <v>1850</v>
      </c>
      <c r="I490" s="15">
        <f t="shared" si="74"/>
        <v>37000</v>
      </c>
      <c r="J490" s="14">
        <f t="shared" si="75"/>
        <v>4440</v>
      </c>
      <c r="K490" s="15">
        <f t="shared" si="76"/>
        <v>277.5</v>
      </c>
      <c r="L490" s="15">
        <f t="shared" si="77"/>
        <v>32282.5</v>
      </c>
      <c r="M490" s="14"/>
      <c r="N490" s="14"/>
    </row>
    <row r="491" ht="14.25">
      <c r="A491" s="14">
        <v>489</v>
      </c>
      <c r="B491" s="14" t="str">
        <f t="shared" si="71"/>
        <v>Empl_489</v>
      </c>
      <c r="C491" s="14" t="s">
        <v>13</v>
      </c>
      <c r="D491" s="14">
        <v>16000</v>
      </c>
      <c r="E491" s="14">
        <f t="shared" ca="1" si="70"/>
        <v>30</v>
      </c>
      <c r="F491" s="14">
        <v>27</v>
      </c>
      <c r="G491" s="14">
        <f t="shared" si="72"/>
        <v>3</v>
      </c>
      <c r="H491" s="15">
        <f t="shared" si="73"/>
        <v>592.59259259259261</v>
      </c>
      <c r="I491" s="15">
        <f t="shared" si="74"/>
        <v>16000</v>
      </c>
      <c r="J491" s="14">
        <f t="shared" si="75"/>
        <v>1920</v>
      </c>
      <c r="K491" s="15">
        <f t="shared" si="76"/>
        <v>120</v>
      </c>
      <c r="L491" s="15">
        <f t="shared" si="77"/>
        <v>13960</v>
      </c>
      <c r="M491" s="14"/>
      <c r="N491" s="14"/>
    </row>
    <row r="492" ht="14.25">
      <c r="A492" s="14">
        <v>490</v>
      </c>
      <c r="B492" s="14" t="str">
        <f t="shared" si="71"/>
        <v>Empl_490</v>
      </c>
      <c r="C492" s="14" t="s">
        <v>9</v>
      </c>
      <c r="D492" s="14">
        <v>21000</v>
      </c>
      <c r="E492" s="14">
        <f t="shared" ca="1" si="70"/>
        <v>30</v>
      </c>
      <c r="F492" s="14">
        <v>30</v>
      </c>
      <c r="G492" s="14">
        <f t="shared" si="72"/>
        <v>0</v>
      </c>
      <c r="H492" s="15">
        <f t="shared" si="73"/>
        <v>700</v>
      </c>
      <c r="I492" s="15">
        <f t="shared" si="74"/>
        <v>21000</v>
      </c>
      <c r="J492" s="14">
        <f t="shared" si="75"/>
        <v>2520</v>
      </c>
      <c r="K492" s="15">
        <f t="shared" si="76"/>
        <v>157.5</v>
      </c>
      <c r="L492" s="15">
        <f t="shared" si="77"/>
        <v>18322.5</v>
      </c>
      <c r="M492" s="14"/>
      <c r="N492" s="14"/>
    </row>
    <row r="493" ht="14.25">
      <c r="A493" s="14">
        <v>491</v>
      </c>
      <c r="B493" s="14" t="str">
        <f t="shared" si="71"/>
        <v>Empl_491</v>
      </c>
      <c r="C493" s="14" t="s">
        <v>11</v>
      </c>
      <c r="D493" s="14">
        <v>19000</v>
      </c>
      <c r="E493" s="14">
        <f t="shared" ca="1" si="70"/>
        <v>30</v>
      </c>
      <c r="F493" s="14">
        <v>29</v>
      </c>
      <c r="G493" s="14">
        <f t="shared" si="72"/>
        <v>1</v>
      </c>
      <c r="H493" s="15">
        <f t="shared" si="73"/>
        <v>655.17241379310349</v>
      </c>
      <c r="I493" s="15">
        <f t="shared" si="74"/>
        <v>19000</v>
      </c>
      <c r="J493" s="14">
        <f t="shared" si="75"/>
        <v>2280</v>
      </c>
      <c r="K493" s="15">
        <f t="shared" si="76"/>
        <v>142.5</v>
      </c>
      <c r="L493" s="15">
        <f t="shared" si="77"/>
        <v>16577.5</v>
      </c>
      <c r="M493" s="14"/>
      <c r="N493" s="14"/>
    </row>
    <row r="494" ht="14.25">
      <c r="A494" s="14">
        <v>492</v>
      </c>
      <c r="B494" s="14" t="str">
        <f t="shared" si="71"/>
        <v>Empl_492</v>
      </c>
      <c r="C494" s="14" t="s">
        <v>8</v>
      </c>
      <c r="D494" s="14">
        <v>42000</v>
      </c>
      <c r="E494" s="14">
        <f t="shared" ca="1" si="70"/>
        <v>30</v>
      </c>
      <c r="F494" s="14">
        <v>23</v>
      </c>
      <c r="G494" s="14">
        <f t="shared" si="72"/>
        <v>7</v>
      </c>
      <c r="H494" s="15">
        <f t="shared" si="73"/>
        <v>1826.0869565217392</v>
      </c>
      <c r="I494" s="15">
        <f t="shared" si="74"/>
        <v>42000</v>
      </c>
      <c r="J494" s="14">
        <f t="shared" si="75"/>
        <v>5040</v>
      </c>
      <c r="K494" s="15">
        <f t="shared" si="76"/>
        <v>315</v>
      </c>
      <c r="L494" s="15">
        <f t="shared" si="77"/>
        <v>36645</v>
      </c>
      <c r="M494" s="14"/>
      <c r="N494" s="14"/>
    </row>
    <row r="495" ht="14.25">
      <c r="A495" s="14">
        <v>493</v>
      </c>
      <c r="B495" s="14" t="str">
        <f t="shared" si="71"/>
        <v>Empl_493</v>
      </c>
      <c r="C495" s="14" t="s">
        <v>12</v>
      </c>
      <c r="D495" s="14">
        <v>31000</v>
      </c>
      <c r="E495" s="14">
        <f t="shared" ca="1" si="70"/>
        <v>30</v>
      </c>
      <c r="F495" s="14">
        <v>27</v>
      </c>
      <c r="G495" s="14">
        <f t="shared" si="72"/>
        <v>3</v>
      </c>
      <c r="H495" s="15">
        <f t="shared" si="73"/>
        <v>1148.148148148148</v>
      </c>
      <c r="I495" s="15">
        <f t="shared" si="74"/>
        <v>30999.999999999996</v>
      </c>
      <c r="J495" s="14">
        <f t="shared" si="75"/>
        <v>3719.9999999999995</v>
      </c>
      <c r="K495" s="15">
        <f t="shared" si="76"/>
        <v>232.49999999999997</v>
      </c>
      <c r="L495" s="15">
        <f t="shared" si="77"/>
        <v>27047.499999999996</v>
      </c>
      <c r="M495" s="14"/>
      <c r="N495" s="14"/>
    </row>
    <row r="496" ht="14.25">
      <c r="A496" s="14">
        <v>494</v>
      </c>
      <c r="B496" s="14" t="str">
        <f t="shared" si="71"/>
        <v>Empl_494</v>
      </c>
      <c r="C496" s="14" t="s">
        <v>10</v>
      </c>
      <c r="D496" s="14">
        <v>27000</v>
      </c>
      <c r="E496" s="14">
        <f t="shared" ca="1" si="70"/>
        <v>30</v>
      </c>
      <c r="F496" s="14">
        <v>28</v>
      </c>
      <c r="G496" s="14">
        <f t="shared" si="72"/>
        <v>2</v>
      </c>
      <c r="H496" s="15">
        <f t="shared" si="73"/>
        <v>964.28571428571433</v>
      </c>
      <c r="I496" s="15">
        <f t="shared" si="74"/>
        <v>27000</v>
      </c>
      <c r="J496" s="14">
        <f t="shared" si="75"/>
        <v>3240</v>
      </c>
      <c r="K496" s="15">
        <f t="shared" si="76"/>
        <v>202.5</v>
      </c>
      <c r="L496" s="15">
        <f t="shared" si="77"/>
        <v>23557.5</v>
      </c>
      <c r="M496" s="14"/>
      <c r="N496" s="14"/>
    </row>
    <row r="497" ht="14.25">
      <c r="A497" s="14">
        <v>495</v>
      </c>
      <c r="B497" s="14" t="str">
        <f t="shared" si="71"/>
        <v>Empl_495</v>
      </c>
      <c r="C497" s="14" t="s">
        <v>13</v>
      </c>
      <c r="D497" s="14">
        <v>51000</v>
      </c>
      <c r="E497" s="14">
        <f t="shared" ca="1" si="70"/>
        <v>30</v>
      </c>
      <c r="F497" s="14">
        <v>30</v>
      </c>
      <c r="G497" s="14">
        <f t="shared" si="72"/>
        <v>0</v>
      </c>
      <c r="H497" s="15">
        <f t="shared" si="73"/>
        <v>1700</v>
      </c>
      <c r="I497" s="15">
        <f t="shared" si="74"/>
        <v>51000</v>
      </c>
      <c r="J497" s="14">
        <f t="shared" si="75"/>
        <v>6120</v>
      </c>
      <c r="K497" s="15">
        <f t="shared" si="76"/>
        <v>382.5</v>
      </c>
      <c r="L497" s="15">
        <f t="shared" si="77"/>
        <v>44497.5</v>
      </c>
      <c r="M497" s="14"/>
      <c r="N497" s="14"/>
    </row>
    <row r="498" ht="14.25">
      <c r="A498" s="14">
        <v>496</v>
      </c>
      <c r="B498" s="14" t="str">
        <f t="shared" si="71"/>
        <v>Empl_496</v>
      </c>
      <c r="C498" s="14" t="s">
        <v>9</v>
      </c>
      <c r="D498" s="14">
        <v>46000</v>
      </c>
      <c r="E498" s="14">
        <f t="shared" ca="1" si="70"/>
        <v>30</v>
      </c>
      <c r="F498" s="14">
        <v>29</v>
      </c>
      <c r="G498" s="14">
        <f t="shared" si="72"/>
        <v>1</v>
      </c>
      <c r="H498" s="15">
        <f t="shared" si="73"/>
        <v>1586.2068965517242</v>
      </c>
      <c r="I498" s="15">
        <f t="shared" si="74"/>
        <v>46000</v>
      </c>
      <c r="J498" s="14">
        <f t="shared" si="75"/>
        <v>5520</v>
      </c>
      <c r="K498" s="15">
        <f t="shared" si="76"/>
        <v>345</v>
      </c>
      <c r="L498" s="15">
        <f t="shared" si="77"/>
        <v>40135</v>
      </c>
      <c r="M498" s="14"/>
      <c r="N498" s="14"/>
    </row>
    <row r="499" ht="14.25">
      <c r="A499" s="14">
        <v>497</v>
      </c>
      <c r="B499" s="14" t="str">
        <f t="shared" si="71"/>
        <v>Empl_497</v>
      </c>
      <c r="C499" s="14" t="s">
        <v>11</v>
      </c>
      <c r="D499" s="14">
        <v>38000</v>
      </c>
      <c r="E499" s="14">
        <f t="shared" ca="1" si="70"/>
        <v>30</v>
      </c>
      <c r="F499" s="14">
        <v>30</v>
      </c>
      <c r="G499" s="14">
        <f t="shared" si="72"/>
        <v>0</v>
      </c>
      <c r="H499" s="15">
        <f t="shared" si="73"/>
        <v>1266.6666666666667</v>
      </c>
      <c r="I499" s="15">
        <f t="shared" si="74"/>
        <v>38000</v>
      </c>
      <c r="J499" s="14">
        <f t="shared" si="75"/>
        <v>4560</v>
      </c>
      <c r="K499" s="15">
        <f t="shared" si="76"/>
        <v>285</v>
      </c>
      <c r="L499" s="15">
        <f t="shared" si="77"/>
        <v>33155</v>
      </c>
      <c r="M499" s="14"/>
      <c r="N499" s="14"/>
    </row>
    <row r="500" ht="14.25">
      <c r="A500" s="14">
        <v>498</v>
      </c>
      <c r="B500" s="14" t="str">
        <f t="shared" si="71"/>
        <v>Empl_498</v>
      </c>
      <c r="C500" s="14" t="s">
        <v>8</v>
      </c>
      <c r="D500" s="14">
        <v>39000</v>
      </c>
      <c r="E500" s="14">
        <f t="shared" ca="1" si="70"/>
        <v>30</v>
      </c>
      <c r="F500" s="14">
        <v>29</v>
      </c>
      <c r="G500" s="14">
        <f t="shared" si="72"/>
        <v>1</v>
      </c>
      <c r="H500" s="15">
        <f t="shared" si="73"/>
        <v>1344.8275862068965</v>
      </c>
      <c r="I500" s="15">
        <f t="shared" si="74"/>
        <v>39000</v>
      </c>
      <c r="J500" s="14">
        <f t="shared" si="75"/>
        <v>4680</v>
      </c>
      <c r="K500" s="15">
        <f t="shared" si="76"/>
        <v>292.5</v>
      </c>
      <c r="L500" s="15">
        <f t="shared" si="77"/>
        <v>34027.5</v>
      </c>
      <c r="M500" s="14"/>
      <c r="N500" s="14"/>
    </row>
    <row r="501" ht="14.25">
      <c r="A501" s="14">
        <v>499</v>
      </c>
      <c r="B501" s="14" t="str">
        <f t="shared" si="71"/>
        <v>Empl_499</v>
      </c>
      <c r="C501" s="14" t="s">
        <v>12</v>
      </c>
      <c r="D501" s="14">
        <v>43000</v>
      </c>
      <c r="E501" s="14">
        <f t="shared" ca="1" si="70"/>
        <v>30</v>
      </c>
      <c r="F501" s="14">
        <v>24</v>
      </c>
      <c r="G501" s="14">
        <f t="shared" si="72"/>
        <v>6</v>
      </c>
      <c r="H501" s="15">
        <f t="shared" si="73"/>
        <v>1791.6666666666667</v>
      </c>
      <c r="I501" s="15">
        <f t="shared" si="74"/>
        <v>43000</v>
      </c>
      <c r="J501" s="14">
        <f t="shared" si="75"/>
        <v>5160</v>
      </c>
      <c r="K501" s="15">
        <f t="shared" si="76"/>
        <v>322.5</v>
      </c>
      <c r="L501" s="15">
        <f t="shared" si="77"/>
        <v>37517.5</v>
      </c>
      <c r="M501" s="14"/>
      <c r="N501" s="14"/>
    </row>
    <row r="502" ht="14.25">
      <c r="A502" s="14">
        <v>500</v>
      </c>
      <c r="B502" s="14" t="str">
        <f t="shared" si="71"/>
        <v>Empl_500</v>
      </c>
      <c r="C502" s="14" t="s">
        <v>10</v>
      </c>
      <c r="D502" s="14">
        <v>42000</v>
      </c>
      <c r="E502" s="14">
        <f t="shared" ca="1" si="70"/>
        <v>30</v>
      </c>
      <c r="F502" s="14">
        <v>25</v>
      </c>
      <c r="G502" s="14">
        <f t="shared" si="72"/>
        <v>5</v>
      </c>
      <c r="H502" s="15">
        <f t="shared" si="73"/>
        <v>1680</v>
      </c>
      <c r="I502" s="15">
        <f t="shared" si="74"/>
        <v>42000</v>
      </c>
      <c r="J502" s="14">
        <f t="shared" si="75"/>
        <v>5040</v>
      </c>
      <c r="K502" s="15">
        <f t="shared" si="76"/>
        <v>315</v>
      </c>
      <c r="L502" s="15">
        <f t="shared" si="77"/>
        <v>36645</v>
      </c>
      <c r="M502" s="14"/>
      <c r="N502" s="14"/>
    </row>
    <row r="503" ht="14.25">
      <c r="A503" s="14">
        <v>501</v>
      </c>
      <c r="B503" s="14" t="str">
        <f t="shared" si="71"/>
        <v>Empl_501</v>
      </c>
      <c r="C503" s="14" t="s">
        <v>13</v>
      </c>
      <c r="D503" s="14">
        <v>16000</v>
      </c>
      <c r="E503" s="14">
        <f t="shared" ca="1" si="70"/>
        <v>30</v>
      </c>
      <c r="F503" s="14">
        <v>20</v>
      </c>
      <c r="G503" s="14">
        <f t="shared" si="72"/>
        <v>10</v>
      </c>
      <c r="H503" s="15">
        <f t="shared" si="73"/>
        <v>800</v>
      </c>
      <c r="I503" s="15">
        <f t="shared" si="74"/>
        <v>16000</v>
      </c>
      <c r="J503" s="14">
        <f t="shared" si="75"/>
        <v>1920</v>
      </c>
      <c r="K503" s="15">
        <f t="shared" si="76"/>
        <v>120</v>
      </c>
      <c r="L503" s="15">
        <f t="shared" si="77"/>
        <v>13960</v>
      </c>
      <c r="M503" s="14"/>
      <c r="N503" s="14"/>
    </row>
    <row r="504" ht="14.25">
      <c r="A504" s="14">
        <v>502</v>
      </c>
      <c r="B504" s="14" t="str">
        <f t="shared" si="71"/>
        <v>Empl_502</v>
      </c>
      <c r="C504" s="14" t="s">
        <v>9</v>
      </c>
      <c r="D504" s="14">
        <v>36000</v>
      </c>
      <c r="E504" s="14">
        <f t="shared" ca="1" si="70"/>
        <v>30</v>
      </c>
      <c r="F504" s="14">
        <v>26</v>
      </c>
      <c r="G504" s="14">
        <f t="shared" si="72"/>
        <v>4</v>
      </c>
      <c r="H504" s="15">
        <f t="shared" si="73"/>
        <v>1384.6153846153845</v>
      </c>
      <c r="I504" s="15">
        <f t="shared" si="74"/>
        <v>36000</v>
      </c>
      <c r="J504" s="14">
        <f t="shared" si="75"/>
        <v>4320</v>
      </c>
      <c r="K504" s="15">
        <f t="shared" si="76"/>
        <v>270</v>
      </c>
      <c r="L504" s="15">
        <f t="shared" si="77"/>
        <v>31410</v>
      </c>
      <c r="M504" s="14"/>
      <c r="N504" s="14"/>
    </row>
    <row r="505" ht="14.25">
      <c r="A505" s="14">
        <v>503</v>
      </c>
      <c r="B505" s="14" t="str">
        <f t="shared" si="71"/>
        <v>Empl_503</v>
      </c>
      <c r="C505" s="14" t="s">
        <v>11</v>
      </c>
      <c r="D505" s="14">
        <v>48000</v>
      </c>
      <c r="E505" s="14">
        <f t="shared" ca="1" si="70"/>
        <v>30</v>
      </c>
      <c r="F505" s="14">
        <v>30</v>
      </c>
      <c r="G505" s="14">
        <f t="shared" si="72"/>
        <v>0</v>
      </c>
      <c r="H505" s="15">
        <f t="shared" si="73"/>
        <v>1600</v>
      </c>
      <c r="I505" s="15">
        <f t="shared" si="74"/>
        <v>48000</v>
      </c>
      <c r="J505" s="14">
        <f t="shared" si="75"/>
        <v>5760</v>
      </c>
      <c r="K505" s="15">
        <f t="shared" si="76"/>
        <v>360</v>
      </c>
      <c r="L505" s="15">
        <f t="shared" si="77"/>
        <v>41880</v>
      </c>
      <c r="M505" s="14"/>
      <c r="N505" s="14"/>
    </row>
    <row r="506" ht="14.25">
      <c r="A506" s="14">
        <v>504</v>
      </c>
      <c r="B506" s="14" t="str">
        <f t="shared" si="71"/>
        <v>Empl_504</v>
      </c>
      <c r="C506" s="14" t="s">
        <v>8</v>
      </c>
      <c r="D506" s="14">
        <v>58000</v>
      </c>
      <c r="E506" s="14">
        <f t="shared" ca="1" si="70"/>
        <v>30</v>
      </c>
      <c r="F506" s="14">
        <v>27</v>
      </c>
      <c r="G506" s="14">
        <f t="shared" si="72"/>
        <v>3</v>
      </c>
      <c r="H506" s="15">
        <f t="shared" si="73"/>
        <v>2148.1481481481483</v>
      </c>
      <c r="I506" s="15">
        <f t="shared" si="74"/>
        <v>58000</v>
      </c>
      <c r="J506" s="14">
        <f t="shared" si="75"/>
        <v>6960</v>
      </c>
      <c r="K506" s="15">
        <f t="shared" si="76"/>
        <v>435</v>
      </c>
      <c r="L506" s="15">
        <f t="shared" si="77"/>
        <v>50605</v>
      </c>
      <c r="M506" s="14"/>
      <c r="N506" s="14"/>
    </row>
    <row r="507" ht="14.25">
      <c r="A507" s="14">
        <v>505</v>
      </c>
      <c r="B507" s="14" t="str">
        <f t="shared" si="71"/>
        <v>Empl_505</v>
      </c>
      <c r="C507" s="14" t="s">
        <v>12</v>
      </c>
      <c r="D507" s="14">
        <v>18000</v>
      </c>
      <c r="E507" s="14">
        <f t="shared" ca="1" si="70"/>
        <v>30</v>
      </c>
      <c r="F507" s="14">
        <v>25</v>
      </c>
      <c r="G507" s="14">
        <f t="shared" si="72"/>
        <v>5</v>
      </c>
      <c r="H507" s="15">
        <f t="shared" si="73"/>
        <v>720</v>
      </c>
      <c r="I507" s="15">
        <f t="shared" si="74"/>
        <v>18000</v>
      </c>
      <c r="J507" s="14">
        <f t="shared" si="75"/>
        <v>2160</v>
      </c>
      <c r="K507" s="15">
        <f t="shared" si="76"/>
        <v>135</v>
      </c>
      <c r="L507" s="15">
        <f t="shared" si="77"/>
        <v>15705</v>
      </c>
      <c r="M507" s="14"/>
      <c r="N507" s="14"/>
    </row>
    <row r="508" ht="14.25">
      <c r="A508" s="14">
        <v>506</v>
      </c>
      <c r="B508" s="14" t="str">
        <f t="shared" si="71"/>
        <v>Empl_506</v>
      </c>
      <c r="C508" s="14" t="s">
        <v>10</v>
      </c>
      <c r="D508" s="14">
        <v>50000</v>
      </c>
      <c r="E508" s="14">
        <f t="shared" ca="1" si="70"/>
        <v>30</v>
      </c>
      <c r="F508" s="14">
        <v>25</v>
      </c>
      <c r="G508" s="14">
        <f t="shared" si="72"/>
        <v>5</v>
      </c>
      <c r="H508" s="15">
        <f t="shared" si="73"/>
        <v>2000</v>
      </c>
      <c r="I508" s="15">
        <f t="shared" si="74"/>
        <v>50000</v>
      </c>
      <c r="J508" s="14">
        <f t="shared" si="75"/>
        <v>6000</v>
      </c>
      <c r="K508" s="15">
        <f t="shared" si="76"/>
        <v>375</v>
      </c>
      <c r="L508" s="15">
        <f t="shared" si="77"/>
        <v>43625</v>
      </c>
      <c r="M508" s="14"/>
      <c r="N508" s="14"/>
    </row>
    <row r="509" ht="14.25">
      <c r="A509" s="14">
        <v>507</v>
      </c>
      <c r="B509" s="14" t="str">
        <f t="shared" si="71"/>
        <v>Empl_507</v>
      </c>
      <c r="C509" s="14" t="s">
        <v>13</v>
      </c>
      <c r="D509" s="14">
        <v>60000</v>
      </c>
      <c r="E509" s="14">
        <f t="shared" ca="1" si="70"/>
        <v>30</v>
      </c>
      <c r="F509" s="14">
        <v>30</v>
      </c>
      <c r="G509" s="14">
        <f t="shared" si="72"/>
        <v>0</v>
      </c>
      <c r="H509" s="15">
        <f t="shared" si="73"/>
        <v>2000</v>
      </c>
      <c r="I509" s="15">
        <f t="shared" si="74"/>
        <v>60000</v>
      </c>
      <c r="J509" s="14">
        <f t="shared" si="75"/>
        <v>7200</v>
      </c>
      <c r="K509" s="15">
        <f t="shared" si="76"/>
        <v>450</v>
      </c>
      <c r="L509" s="15">
        <f t="shared" si="77"/>
        <v>52350</v>
      </c>
      <c r="M509" s="14"/>
      <c r="N509" s="14"/>
    </row>
    <row r="510" ht="14.25">
      <c r="A510" s="14">
        <v>508</v>
      </c>
      <c r="B510" s="14" t="str">
        <f t="shared" si="71"/>
        <v>Empl_508</v>
      </c>
      <c r="C510" s="14" t="s">
        <v>9</v>
      </c>
      <c r="D510" s="14">
        <v>31000</v>
      </c>
      <c r="E510" s="14">
        <f t="shared" ca="1" si="70"/>
        <v>30</v>
      </c>
      <c r="F510" s="14">
        <v>28</v>
      </c>
      <c r="G510" s="14">
        <f t="shared" si="72"/>
        <v>2</v>
      </c>
      <c r="H510" s="15">
        <f t="shared" si="73"/>
        <v>1107.1428571428571</v>
      </c>
      <c r="I510" s="15">
        <f t="shared" si="74"/>
        <v>31000</v>
      </c>
      <c r="J510" s="14">
        <f t="shared" si="75"/>
        <v>3720</v>
      </c>
      <c r="K510" s="15">
        <f t="shared" si="76"/>
        <v>232.5</v>
      </c>
      <c r="L510" s="15">
        <f t="shared" si="77"/>
        <v>27047.5</v>
      </c>
      <c r="M510" s="14"/>
      <c r="N510" s="14"/>
    </row>
    <row r="511" ht="14.25">
      <c r="A511" s="14">
        <v>509</v>
      </c>
      <c r="B511" s="14" t="str">
        <f t="shared" si="71"/>
        <v>Empl_509</v>
      </c>
      <c r="C511" s="14" t="s">
        <v>11</v>
      </c>
      <c r="D511" s="14">
        <v>57000</v>
      </c>
      <c r="E511" s="14">
        <f t="shared" ca="1" si="70"/>
        <v>30</v>
      </c>
      <c r="F511" s="14">
        <v>28</v>
      </c>
      <c r="G511" s="14">
        <f t="shared" si="72"/>
        <v>2</v>
      </c>
      <c r="H511" s="15">
        <f t="shared" si="73"/>
        <v>2035.7142857142858</v>
      </c>
      <c r="I511" s="15">
        <f t="shared" si="74"/>
        <v>57000</v>
      </c>
      <c r="J511" s="14">
        <f t="shared" si="75"/>
        <v>6840</v>
      </c>
      <c r="K511" s="15">
        <f t="shared" si="76"/>
        <v>427.5</v>
      </c>
      <c r="L511" s="15">
        <f t="shared" si="77"/>
        <v>49732.5</v>
      </c>
      <c r="M511" s="14"/>
      <c r="N511" s="14"/>
    </row>
    <row r="512" ht="14.25">
      <c r="A512" s="14">
        <v>510</v>
      </c>
      <c r="B512" s="14" t="str">
        <f t="shared" si="71"/>
        <v>Empl_510</v>
      </c>
      <c r="C512" s="14" t="s">
        <v>8</v>
      </c>
      <c r="D512" s="14">
        <v>57000</v>
      </c>
      <c r="E512" s="14">
        <f t="shared" ca="1" si="70"/>
        <v>30</v>
      </c>
      <c r="F512" s="14">
        <v>28</v>
      </c>
      <c r="G512" s="14">
        <f t="shared" si="72"/>
        <v>2</v>
      </c>
      <c r="H512" s="15">
        <f t="shared" si="73"/>
        <v>2035.7142857142858</v>
      </c>
      <c r="I512" s="15">
        <f t="shared" si="74"/>
        <v>57000</v>
      </c>
      <c r="J512" s="14">
        <f t="shared" si="75"/>
        <v>6840</v>
      </c>
      <c r="K512" s="15">
        <f t="shared" si="76"/>
        <v>427.5</v>
      </c>
      <c r="L512" s="15">
        <f t="shared" si="77"/>
        <v>49732.5</v>
      </c>
      <c r="M512" s="14"/>
      <c r="N512" s="14"/>
    </row>
    <row r="513" ht="14.25">
      <c r="A513" s="14">
        <v>511</v>
      </c>
      <c r="B513" s="14" t="str">
        <f t="shared" si="71"/>
        <v>Empl_511</v>
      </c>
      <c r="C513" s="14" t="s">
        <v>12</v>
      </c>
      <c r="D513" s="14">
        <v>41000</v>
      </c>
      <c r="E513" s="14">
        <f t="shared" ca="1" si="70"/>
        <v>30</v>
      </c>
      <c r="F513" s="14">
        <v>26</v>
      </c>
      <c r="G513" s="14">
        <f t="shared" si="72"/>
        <v>4</v>
      </c>
      <c r="H513" s="15">
        <f t="shared" si="73"/>
        <v>1576.9230769230769</v>
      </c>
      <c r="I513" s="15">
        <f t="shared" si="74"/>
        <v>41000</v>
      </c>
      <c r="J513" s="14">
        <f t="shared" si="75"/>
        <v>4920</v>
      </c>
      <c r="K513" s="15">
        <f t="shared" si="76"/>
        <v>307.5</v>
      </c>
      <c r="L513" s="15">
        <f t="shared" si="77"/>
        <v>35772.5</v>
      </c>
      <c r="M513" s="14"/>
      <c r="N513" s="14"/>
    </row>
    <row r="514" ht="14.25">
      <c r="A514" s="14">
        <v>512</v>
      </c>
      <c r="B514" s="14" t="str">
        <f t="shared" si="71"/>
        <v>Empl_512</v>
      </c>
      <c r="C514" s="14" t="s">
        <v>10</v>
      </c>
      <c r="D514" s="14">
        <v>40000</v>
      </c>
      <c r="E514" s="14">
        <f t="shared" ca="1" si="70"/>
        <v>30</v>
      </c>
      <c r="F514" s="14">
        <v>26</v>
      </c>
      <c r="G514" s="14">
        <f t="shared" si="72"/>
        <v>4</v>
      </c>
      <c r="H514" s="15">
        <f t="shared" si="73"/>
        <v>1538.4615384615386</v>
      </c>
      <c r="I514" s="15">
        <f t="shared" si="74"/>
        <v>40000</v>
      </c>
      <c r="J514" s="14">
        <f t="shared" si="75"/>
        <v>4800</v>
      </c>
      <c r="K514" s="15">
        <f t="shared" si="76"/>
        <v>300</v>
      </c>
      <c r="L514" s="15">
        <f t="shared" si="77"/>
        <v>34900</v>
      </c>
      <c r="M514" s="14"/>
      <c r="N514" s="14"/>
    </row>
    <row r="515" ht="14.25">
      <c r="A515" s="14">
        <v>513</v>
      </c>
      <c r="B515" s="14" t="str">
        <f t="shared" si="71"/>
        <v>Empl_513</v>
      </c>
      <c r="C515" s="14" t="s">
        <v>13</v>
      </c>
      <c r="D515" s="14">
        <v>37000</v>
      </c>
      <c r="E515" s="14">
        <f t="shared" ref="E515:E578" ca="1" si="78">DAY(EOMONTH(TODAY(),0))</f>
        <v>30</v>
      </c>
      <c r="F515" s="14">
        <v>30</v>
      </c>
      <c r="G515" s="14">
        <f t="shared" si="72"/>
        <v>0</v>
      </c>
      <c r="H515" s="15">
        <f t="shared" si="73"/>
        <v>1233.3333333333333</v>
      </c>
      <c r="I515" s="15">
        <f t="shared" si="74"/>
        <v>37000</v>
      </c>
      <c r="J515" s="14">
        <f t="shared" si="75"/>
        <v>4440</v>
      </c>
      <c r="K515" s="15">
        <f t="shared" si="76"/>
        <v>277.5</v>
      </c>
      <c r="L515" s="15">
        <f t="shared" si="77"/>
        <v>32282.5</v>
      </c>
      <c r="M515" s="14"/>
      <c r="N515" s="14"/>
    </row>
    <row r="516" ht="14.25">
      <c r="A516" s="14">
        <v>514</v>
      </c>
      <c r="B516" s="14" t="str">
        <f t="shared" si="71"/>
        <v>Empl_514</v>
      </c>
      <c r="C516" s="14" t="s">
        <v>9</v>
      </c>
      <c r="D516" s="14">
        <v>60000</v>
      </c>
      <c r="E516" s="14">
        <f t="shared" ca="1" si="78"/>
        <v>30</v>
      </c>
      <c r="F516" s="14">
        <v>20</v>
      </c>
      <c r="G516" s="14">
        <f t="shared" si="72"/>
        <v>10</v>
      </c>
      <c r="H516" s="15">
        <f t="shared" si="73"/>
        <v>3000</v>
      </c>
      <c r="I516" s="15">
        <f t="shared" si="74"/>
        <v>60000</v>
      </c>
      <c r="J516" s="14">
        <f t="shared" si="75"/>
        <v>7200</v>
      </c>
      <c r="K516" s="15">
        <f t="shared" si="76"/>
        <v>450</v>
      </c>
      <c r="L516" s="15">
        <f t="shared" si="77"/>
        <v>52350</v>
      </c>
      <c r="M516" s="14"/>
      <c r="N516" s="14"/>
    </row>
    <row r="517" ht="14.25">
      <c r="A517" s="14">
        <v>515</v>
      </c>
      <c r="B517" s="14" t="str">
        <f t="shared" si="71"/>
        <v>Empl_515</v>
      </c>
      <c r="C517" s="14" t="s">
        <v>11</v>
      </c>
      <c r="D517" s="14">
        <v>19000</v>
      </c>
      <c r="E517" s="14">
        <f t="shared" ca="1" si="78"/>
        <v>30</v>
      </c>
      <c r="F517" s="14">
        <v>20</v>
      </c>
      <c r="G517" s="14">
        <f t="shared" si="72"/>
        <v>10</v>
      </c>
      <c r="H517" s="15">
        <f t="shared" si="73"/>
        <v>950</v>
      </c>
      <c r="I517" s="15">
        <f t="shared" si="74"/>
        <v>19000</v>
      </c>
      <c r="J517" s="14">
        <f t="shared" si="75"/>
        <v>2280</v>
      </c>
      <c r="K517" s="15">
        <f t="shared" si="76"/>
        <v>142.5</v>
      </c>
      <c r="L517" s="15">
        <f t="shared" si="77"/>
        <v>16577.5</v>
      </c>
      <c r="M517" s="14"/>
      <c r="N517" s="14"/>
    </row>
    <row r="518" ht="14.25">
      <c r="A518" s="14">
        <v>516</v>
      </c>
      <c r="B518" s="14" t="str">
        <f t="shared" si="71"/>
        <v>Empl_516</v>
      </c>
      <c r="C518" s="14" t="s">
        <v>8</v>
      </c>
      <c r="D518" s="14">
        <v>48000</v>
      </c>
      <c r="E518" s="14">
        <f t="shared" ca="1" si="78"/>
        <v>30</v>
      </c>
      <c r="F518" s="14">
        <v>24</v>
      </c>
      <c r="G518" s="14">
        <f t="shared" si="72"/>
        <v>6</v>
      </c>
      <c r="H518" s="15">
        <f t="shared" si="73"/>
        <v>2000</v>
      </c>
      <c r="I518" s="15">
        <f t="shared" si="74"/>
        <v>48000</v>
      </c>
      <c r="J518" s="14">
        <f t="shared" si="75"/>
        <v>5760</v>
      </c>
      <c r="K518" s="15">
        <f t="shared" si="76"/>
        <v>360</v>
      </c>
      <c r="L518" s="15">
        <f t="shared" si="77"/>
        <v>41880</v>
      </c>
      <c r="M518" s="14"/>
      <c r="N518" s="14"/>
    </row>
    <row r="519" ht="14.25">
      <c r="A519" s="14">
        <v>517</v>
      </c>
      <c r="B519" s="14" t="str">
        <f t="shared" si="71"/>
        <v>Empl_517</v>
      </c>
      <c r="C519" s="14" t="s">
        <v>12</v>
      </c>
      <c r="D519" s="14">
        <v>36000</v>
      </c>
      <c r="E519" s="14">
        <f t="shared" ca="1" si="78"/>
        <v>30</v>
      </c>
      <c r="F519" s="14">
        <v>20</v>
      </c>
      <c r="G519" s="14">
        <f t="shared" si="72"/>
        <v>10</v>
      </c>
      <c r="H519" s="15">
        <f t="shared" si="73"/>
        <v>1800</v>
      </c>
      <c r="I519" s="15">
        <f t="shared" si="74"/>
        <v>36000</v>
      </c>
      <c r="J519" s="14">
        <f t="shared" si="75"/>
        <v>4320</v>
      </c>
      <c r="K519" s="15">
        <f t="shared" si="76"/>
        <v>270</v>
      </c>
      <c r="L519" s="15">
        <f t="shared" si="77"/>
        <v>31410</v>
      </c>
      <c r="M519" s="14"/>
      <c r="N519" s="14"/>
    </row>
    <row r="520" ht="14.25">
      <c r="A520" s="14">
        <v>518</v>
      </c>
      <c r="B520" s="14" t="str">
        <f t="shared" si="71"/>
        <v>Empl_518</v>
      </c>
      <c r="C520" s="14" t="s">
        <v>10</v>
      </c>
      <c r="D520" s="14">
        <v>57000</v>
      </c>
      <c r="E520" s="14">
        <f t="shared" ca="1" si="78"/>
        <v>30</v>
      </c>
      <c r="F520" s="14">
        <v>20</v>
      </c>
      <c r="G520" s="14">
        <f t="shared" si="72"/>
        <v>10</v>
      </c>
      <c r="H520" s="15">
        <f t="shared" si="73"/>
        <v>2850</v>
      </c>
      <c r="I520" s="15">
        <f t="shared" si="74"/>
        <v>57000</v>
      </c>
      <c r="J520" s="14">
        <f t="shared" si="75"/>
        <v>6840</v>
      </c>
      <c r="K520" s="15">
        <f t="shared" si="76"/>
        <v>427.5</v>
      </c>
      <c r="L520" s="15">
        <f t="shared" si="77"/>
        <v>49732.5</v>
      </c>
      <c r="M520" s="14"/>
      <c r="N520" s="14"/>
    </row>
    <row r="521" ht="14.25">
      <c r="A521" s="14">
        <v>519</v>
      </c>
      <c r="B521" s="14" t="str">
        <f t="shared" si="71"/>
        <v>Empl_519</v>
      </c>
      <c r="C521" s="14" t="s">
        <v>13</v>
      </c>
      <c r="D521" s="14">
        <v>30000</v>
      </c>
      <c r="E521" s="14">
        <f t="shared" ca="1" si="78"/>
        <v>30</v>
      </c>
      <c r="F521" s="14">
        <v>29</v>
      </c>
      <c r="G521" s="14">
        <f t="shared" si="72"/>
        <v>1</v>
      </c>
      <c r="H521" s="15">
        <f t="shared" si="73"/>
        <v>1034.4827586206898</v>
      </c>
      <c r="I521" s="15">
        <f t="shared" si="74"/>
        <v>30000.000000000004</v>
      </c>
      <c r="J521" s="14">
        <f t="shared" si="75"/>
        <v>3600.0000000000005</v>
      </c>
      <c r="K521" s="15">
        <f t="shared" si="76"/>
        <v>225.00000000000003</v>
      </c>
      <c r="L521" s="15">
        <f t="shared" si="77"/>
        <v>26175.000000000004</v>
      </c>
      <c r="M521" s="14"/>
      <c r="N521" s="14"/>
    </row>
    <row r="522" ht="14.25">
      <c r="A522" s="14">
        <v>520</v>
      </c>
      <c r="B522" s="14" t="str">
        <f t="shared" si="71"/>
        <v>Empl_520</v>
      </c>
      <c r="C522" s="14" t="s">
        <v>9</v>
      </c>
      <c r="D522" s="14">
        <v>18000</v>
      </c>
      <c r="E522" s="14">
        <f t="shared" ca="1" si="78"/>
        <v>30</v>
      </c>
      <c r="F522" s="14">
        <v>21</v>
      </c>
      <c r="G522" s="14">
        <f t="shared" si="72"/>
        <v>9</v>
      </c>
      <c r="H522" s="15">
        <f t="shared" si="73"/>
        <v>857.14285714285711</v>
      </c>
      <c r="I522" s="15">
        <f t="shared" si="74"/>
        <v>18000</v>
      </c>
      <c r="J522" s="14">
        <f t="shared" si="75"/>
        <v>2160</v>
      </c>
      <c r="K522" s="15">
        <f t="shared" si="76"/>
        <v>135</v>
      </c>
      <c r="L522" s="15">
        <f t="shared" si="77"/>
        <v>15705</v>
      </c>
      <c r="M522" s="14"/>
      <c r="N522" s="14"/>
    </row>
    <row r="523" ht="14.25">
      <c r="A523" s="14">
        <v>521</v>
      </c>
      <c r="B523" s="14" t="str">
        <f t="shared" si="71"/>
        <v>Empl_521</v>
      </c>
      <c r="C523" s="14" t="s">
        <v>11</v>
      </c>
      <c r="D523" s="14">
        <v>20000</v>
      </c>
      <c r="E523" s="14">
        <f t="shared" ca="1" si="78"/>
        <v>30</v>
      </c>
      <c r="F523" s="14">
        <v>20</v>
      </c>
      <c r="G523" s="14">
        <f t="shared" si="72"/>
        <v>10</v>
      </c>
      <c r="H523" s="15">
        <f t="shared" si="73"/>
        <v>1000</v>
      </c>
      <c r="I523" s="15">
        <f t="shared" si="74"/>
        <v>20000</v>
      </c>
      <c r="J523" s="14">
        <f t="shared" si="75"/>
        <v>2400</v>
      </c>
      <c r="K523" s="15">
        <f t="shared" si="76"/>
        <v>150</v>
      </c>
      <c r="L523" s="15">
        <f t="shared" si="77"/>
        <v>17450</v>
      </c>
      <c r="M523" s="14"/>
      <c r="N523" s="14"/>
    </row>
    <row r="524" ht="14.25">
      <c r="A524" s="14">
        <v>522</v>
      </c>
      <c r="B524" s="14" t="str">
        <f t="shared" si="71"/>
        <v>Empl_522</v>
      </c>
      <c r="C524" s="14" t="s">
        <v>8</v>
      </c>
      <c r="D524" s="14">
        <v>30000</v>
      </c>
      <c r="E524" s="14">
        <f t="shared" ca="1" si="78"/>
        <v>30</v>
      </c>
      <c r="F524" s="14">
        <v>20</v>
      </c>
      <c r="G524" s="14">
        <f t="shared" si="72"/>
        <v>10</v>
      </c>
      <c r="H524" s="15">
        <f t="shared" si="73"/>
        <v>1500</v>
      </c>
      <c r="I524" s="15">
        <f t="shared" si="74"/>
        <v>30000</v>
      </c>
      <c r="J524" s="14">
        <f t="shared" si="75"/>
        <v>3600</v>
      </c>
      <c r="K524" s="15">
        <f t="shared" si="76"/>
        <v>225</v>
      </c>
      <c r="L524" s="15">
        <f t="shared" si="77"/>
        <v>26175</v>
      </c>
      <c r="M524" s="14"/>
      <c r="N524" s="14"/>
    </row>
    <row r="525" ht="14.25">
      <c r="A525" s="14">
        <v>523</v>
      </c>
      <c r="B525" s="14" t="str">
        <f t="shared" si="71"/>
        <v>Empl_523</v>
      </c>
      <c r="C525" s="14" t="s">
        <v>12</v>
      </c>
      <c r="D525" s="14">
        <v>17000</v>
      </c>
      <c r="E525" s="14">
        <f t="shared" ca="1" si="78"/>
        <v>30</v>
      </c>
      <c r="F525" s="14">
        <v>28</v>
      </c>
      <c r="G525" s="14">
        <f t="shared" si="72"/>
        <v>2</v>
      </c>
      <c r="H525" s="15">
        <f t="shared" si="73"/>
        <v>607.14285714285711</v>
      </c>
      <c r="I525" s="15">
        <f t="shared" si="74"/>
        <v>17000</v>
      </c>
      <c r="J525" s="14">
        <f t="shared" si="75"/>
        <v>2040</v>
      </c>
      <c r="K525" s="15">
        <f t="shared" si="76"/>
        <v>127.5</v>
      </c>
      <c r="L525" s="15">
        <f t="shared" si="77"/>
        <v>14832.5</v>
      </c>
      <c r="M525" s="14"/>
      <c r="N525" s="14"/>
    </row>
    <row r="526" ht="14.25">
      <c r="A526" s="14">
        <v>524</v>
      </c>
      <c r="B526" s="14" t="str">
        <f t="shared" si="71"/>
        <v>Empl_524</v>
      </c>
      <c r="C526" s="14" t="s">
        <v>10</v>
      </c>
      <c r="D526" s="14">
        <v>51000</v>
      </c>
      <c r="E526" s="14">
        <f t="shared" ca="1" si="78"/>
        <v>30</v>
      </c>
      <c r="F526" s="14">
        <v>22</v>
      </c>
      <c r="G526" s="14">
        <f t="shared" si="72"/>
        <v>8</v>
      </c>
      <c r="H526" s="15">
        <f t="shared" si="73"/>
        <v>2318.181818181818</v>
      </c>
      <c r="I526" s="15">
        <f t="shared" si="74"/>
        <v>51000</v>
      </c>
      <c r="J526" s="14">
        <f t="shared" si="75"/>
        <v>6120</v>
      </c>
      <c r="K526" s="15">
        <f t="shared" si="76"/>
        <v>382.5</v>
      </c>
      <c r="L526" s="15">
        <f t="shared" si="77"/>
        <v>44497.5</v>
      </c>
      <c r="M526" s="14"/>
      <c r="N526" s="14"/>
    </row>
    <row r="527" ht="14.25">
      <c r="A527" s="14">
        <v>525</v>
      </c>
      <c r="B527" s="14" t="str">
        <f t="shared" si="71"/>
        <v>Empl_525</v>
      </c>
      <c r="C527" s="14" t="s">
        <v>13</v>
      </c>
      <c r="D527" s="14">
        <v>27000</v>
      </c>
      <c r="E527" s="14">
        <f t="shared" ca="1" si="78"/>
        <v>30</v>
      </c>
      <c r="F527" s="14">
        <v>28</v>
      </c>
      <c r="G527" s="14">
        <f t="shared" si="72"/>
        <v>2</v>
      </c>
      <c r="H527" s="15">
        <f t="shared" si="73"/>
        <v>964.28571428571433</v>
      </c>
      <c r="I527" s="15">
        <f t="shared" si="74"/>
        <v>27000</v>
      </c>
      <c r="J527" s="14">
        <f t="shared" si="75"/>
        <v>3240</v>
      </c>
      <c r="K527" s="15">
        <f t="shared" si="76"/>
        <v>202.5</v>
      </c>
      <c r="L527" s="15">
        <f t="shared" si="77"/>
        <v>23557.5</v>
      </c>
      <c r="M527" s="14"/>
      <c r="N527" s="14"/>
    </row>
    <row r="528" ht="14.25">
      <c r="A528" s="14">
        <v>526</v>
      </c>
      <c r="B528" s="14" t="str">
        <f t="shared" si="71"/>
        <v>Empl_526</v>
      </c>
      <c r="C528" s="14" t="s">
        <v>9</v>
      </c>
      <c r="D528" s="14">
        <v>46000</v>
      </c>
      <c r="E528" s="14">
        <f t="shared" ca="1" si="78"/>
        <v>30</v>
      </c>
      <c r="F528" s="14">
        <v>29</v>
      </c>
      <c r="G528" s="14">
        <f t="shared" si="72"/>
        <v>1</v>
      </c>
      <c r="H528" s="15">
        <f t="shared" si="73"/>
        <v>1586.2068965517242</v>
      </c>
      <c r="I528" s="15">
        <f t="shared" si="74"/>
        <v>46000</v>
      </c>
      <c r="J528" s="14">
        <f t="shared" si="75"/>
        <v>5520</v>
      </c>
      <c r="K528" s="15">
        <f t="shared" si="76"/>
        <v>345</v>
      </c>
      <c r="L528" s="15">
        <f t="shared" si="77"/>
        <v>40135</v>
      </c>
      <c r="M528" s="14"/>
      <c r="N528" s="14"/>
    </row>
    <row r="529" ht="14.25">
      <c r="A529" s="14">
        <v>527</v>
      </c>
      <c r="B529" s="14" t="str">
        <f t="shared" si="71"/>
        <v>Empl_527</v>
      </c>
      <c r="C529" s="14" t="s">
        <v>11</v>
      </c>
      <c r="D529" s="14">
        <v>52000</v>
      </c>
      <c r="E529" s="14">
        <f t="shared" ca="1" si="78"/>
        <v>30</v>
      </c>
      <c r="F529" s="14">
        <v>29</v>
      </c>
      <c r="G529" s="14">
        <f t="shared" si="72"/>
        <v>1</v>
      </c>
      <c r="H529" s="15">
        <f t="shared" si="73"/>
        <v>1793.1034482758621</v>
      </c>
      <c r="I529" s="15">
        <f t="shared" si="74"/>
        <v>52000</v>
      </c>
      <c r="J529" s="14">
        <f t="shared" si="75"/>
        <v>6240</v>
      </c>
      <c r="K529" s="15">
        <f t="shared" si="76"/>
        <v>390</v>
      </c>
      <c r="L529" s="15">
        <f t="shared" si="77"/>
        <v>45370</v>
      </c>
      <c r="M529" s="14"/>
      <c r="N529" s="14"/>
    </row>
    <row r="530" ht="14.25">
      <c r="A530" s="14">
        <v>528</v>
      </c>
      <c r="B530" s="14" t="str">
        <f t="shared" si="71"/>
        <v>Empl_528</v>
      </c>
      <c r="C530" s="14" t="s">
        <v>8</v>
      </c>
      <c r="D530" s="14">
        <v>40000</v>
      </c>
      <c r="E530" s="14">
        <f t="shared" ca="1" si="78"/>
        <v>30</v>
      </c>
      <c r="F530" s="14">
        <v>23</v>
      </c>
      <c r="G530" s="14">
        <f t="shared" si="72"/>
        <v>7</v>
      </c>
      <c r="H530" s="15">
        <f t="shared" si="73"/>
        <v>1739.1304347826087</v>
      </c>
      <c r="I530" s="15">
        <f t="shared" si="74"/>
        <v>40000</v>
      </c>
      <c r="J530" s="14">
        <f t="shared" si="75"/>
        <v>4800</v>
      </c>
      <c r="K530" s="15">
        <f t="shared" si="76"/>
        <v>300</v>
      </c>
      <c r="L530" s="15">
        <f t="shared" si="77"/>
        <v>34900</v>
      </c>
      <c r="M530" s="14"/>
      <c r="N530" s="14"/>
    </row>
    <row r="531" ht="14.25">
      <c r="A531" s="14">
        <v>529</v>
      </c>
      <c r="B531" s="14" t="str">
        <f t="shared" si="71"/>
        <v>Empl_529</v>
      </c>
      <c r="C531" s="14" t="s">
        <v>12</v>
      </c>
      <c r="D531" s="14">
        <v>34000</v>
      </c>
      <c r="E531" s="14">
        <f t="shared" ca="1" si="78"/>
        <v>30</v>
      </c>
      <c r="F531" s="14">
        <v>30</v>
      </c>
      <c r="G531" s="14">
        <f t="shared" si="72"/>
        <v>0</v>
      </c>
      <c r="H531" s="15">
        <f t="shared" si="73"/>
        <v>1133.3333333333333</v>
      </c>
      <c r="I531" s="15">
        <f t="shared" si="74"/>
        <v>34000</v>
      </c>
      <c r="J531" s="14">
        <f t="shared" si="75"/>
        <v>4080</v>
      </c>
      <c r="K531" s="15">
        <f t="shared" si="76"/>
        <v>255</v>
      </c>
      <c r="L531" s="15">
        <f t="shared" si="77"/>
        <v>29665</v>
      </c>
      <c r="M531" s="14"/>
      <c r="N531" s="14"/>
    </row>
    <row r="532" ht="14.25">
      <c r="A532" s="14">
        <v>530</v>
      </c>
      <c r="B532" s="14" t="str">
        <f t="shared" si="71"/>
        <v>Empl_530</v>
      </c>
      <c r="C532" s="14" t="s">
        <v>10</v>
      </c>
      <c r="D532" s="14">
        <v>45000</v>
      </c>
      <c r="E532" s="14">
        <f t="shared" ca="1" si="78"/>
        <v>30</v>
      </c>
      <c r="F532" s="14">
        <v>22</v>
      </c>
      <c r="G532" s="14">
        <f t="shared" si="72"/>
        <v>8</v>
      </c>
      <c r="H532" s="15">
        <f t="shared" si="73"/>
        <v>2045.4545454545455</v>
      </c>
      <c r="I532" s="15">
        <f t="shared" si="74"/>
        <v>45000</v>
      </c>
      <c r="J532" s="14">
        <f t="shared" si="75"/>
        <v>5400</v>
      </c>
      <c r="K532" s="15">
        <f t="shared" si="76"/>
        <v>337.5</v>
      </c>
      <c r="L532" s="15">
        <f t="shared" si="77"/>
        <v>39262.5</v>
      </c>
      <c r="M532" s="14"/>
      <c r="N532" s="14"/>
    </row>
    <row r="533" ht="14.25">
      <c r="A533" s="14">
        <v>531</v>
      </c>
      <c r="B533" s="14" t="str">
        <f t="shared" si="71"/>
        <v>Empl_531</v>
      </c>
      <c r="C533" s="14" t="s">
        <v>13</v>
      </c>
      <c r="D533" s="14">
        <v>48000</v>
      </c>
      <c r="E533" s="14">
        <f t="shared" ca="1" si="78"/>
        <v>30</v>
      </c>
      <c r="F533" s="14">
        <v>27</v>
      </c>
      <c r="G533" s="14">
        <f t="shared" si="72"/>
        <v>3</v>
      </c>
      <c r="H533" s="15">
        <f t="shared" si="73"/>
        <v>1777.7777777777778</v>
      </c>
      <c r="I533" s="15">
        <f t="shared" si="74"/>
        <v>48000</v>
      </c>
      <c r="J533" s="14">
        <f t="shared" si="75"/>
        <v>5760</v>
      </c>
      <c r="K533" s="15">
        <f t="shared" si="76"/>
        <v>360</v>
      </c>
      <c r="L533" s="15">
        <f t="shared" si="77"/>
        <v>41880</v>
      </c>
      <c r="M533" s="14"/>
      <c r="N533" s="14"/>
    </row>
    <row r="534" ht="14.25">
      <c r="A534" s="14">
        <v>532</v>
      </c>
      <c r="B534" s="14" t="str">
        <f t="shared" si="71"/>
        <v>Empl_532</v>
      </c>
      <c r="C534" s="14" t="s">
        <v>9</v>
      </c>
      <c r="D534" s="14">
        <v>36000</v>
      </c>
      <c r="E534" s="14">
        <f t="shared" ca="1" si="78"/>
        <v>30</v>
      </c>
      <c r="F534" s="14">
        <v>22</v>
      </c>
      <c r="G534" s="14">
        <f t="shared" si="72"/>
        <v>8</v>
      </c>
      <c r="H534" s="15">
        <f t="shared" si="73"/>
        <v>1636.3636363636363</v>
      </c>
      <c r="I534" s="15">
        <f t="shared" si="74"/>
        <v>36000</v>
      </c>
      <c r="J534" s="14">
        <f t="shared" si="75"/>
        <v>4320</v>
      </c>
      <c r="K534" s="15">
        <f t="shared" si="76"/>
        <v>270</v>
      </c>
      <c r="L534" s="15">
        <f t="shared" si="77"/>
        <v>31410</v>
      </c>
      <c r="M534" s="14"/>
      <c r="N534" s="14"/>
    </row>
    <row r="535" ht="14.25">
      <c r="A535" s="14">
        <v>533</v>
      </c>
      <c r="B535" s="14" t="str">
        <f t="shared" si="71"/>
        <v>Empl_533</v>
      </c>
      <c r="C535" s="14" t="s">
        <v>11</v>
      </c>
      <c r="D535" s="14">
        <v>33000</v>
      </c>
      <c r="E535" s="14">
        <f t="shared" ca="1" si="78"/>
        <v>30</v>
      </c>
      <c r="F535" s="14">
        <v>24</v>
      </c>
      <c r="G535" s="14">
        <f t="shared" si="72"/>
        <v>6</v>
      </c>
      <c r="H535" s="15">
        <f t="shared" si="73"/>
        <v>1375</v>
      </c>
      <c r="I535" s="15">
        <f t="shared" si="74"/>
        <v>33000</v>
      </c>
      <c r="J535" s="14">
        <f t="shared" si="75"/>
        <v>3960</v>
      </c>
      <c r="K535" s="15">
        <f t="shared" si="76"/>
        <v>247.5</v>
      </c>
      <c r="L535" s="15">
        <f t="shared" si="77"/>
        <v>28792.5</v>
      </c>
      <c r="M535" s="14"/>
      <c r="N535" s="14"/>
    </row>
    <row r="536" ht="14.25">
      <c r="A536" s="14">
        <v>534</v>
      </c>
      <c r="B536" s="14" t="str">
        <f t="shared" si="71"/>
        <v>Empl_534</v>
      </c>
      <c r="C536" s="14" t="s">
        <v>8</v>
      </c>
      <c r="D536" s="14">
        <v>59000</v>
      </c>
      <c r="E536" s="14">
        <f t="shared" ca="1" si="78"/>
        <v>30</v>
      </c>
      <c r="F536" s="14">
        <v>29</v>
      </c>
      <c r="G536" s="14">
        <f t="shared" si="72"/>
        <v>1</v>
      </c>
      <c r="H536" s="15">
        <f t="shared" si="73"/>
        <v>2034.4827586206898</v>
      </c>
      <c r="I536" s="15">
        <f t="shared" si="74"/>
        <v>59000</v>
      </c>
      <c r="J536" s="14">
        <f t="shared" si="75"/>
        <v>7080</v>
      </c>
      <c r="K536" s="15">
        <f t="shared" si="76"/>
        <v>442.5</v>
      </c>
      <c r="L536" s="15">
        <f t="shared" si="77"/>
        <v>51477.5</v>
      </c>
      <c r="M536" s="14"/>
      <c r="N536" s="14"/>
    </row>
    <row r="537" ht="14.25">
      <c r="A537" s="14">
        <v>535</v>
      </c>
      <c r="B537" s="14" t="str">
        <f t="shared" si="71"/>
        <v>Empl_535</v>
      </c>
      <c r="C537" s="14" t="s">
        <v>12</v>
      </c>
      <c r="D537" s="14">
        <v>20000</v>
      </c>
      <c r="E537" s="14">
        <f t="shared" ca="1" si="78"/>
        <v>30</v>
      </c>
      <c r="F537" s="14">
        <v>27</v>
      </c>
      <c r="G537" s="14">
        <f t="shared" si="72"/>
        <v>3</v>
      </c>
      <c r="H537" s="15">
        <f t="shared" si="73"/>
        <v>740.74074074074076</v>
      </c>
      <c r="I537" s="15">
        <f t="shared" si="74"/>
        <v>20000</v>
      </c>
      <c r="J537" s="14">
        <f t="shared" si="75"/>
        <v>2400</v>
      </c>
      <c r="K537" s="15">
        <f t="shared" si="76"/>
        <v>150</v>
      </c>
      <c r="L537" s="15">
        <f t="shared" si="77"/>
        <v>17450</v>
      </c>
      <c r="M537" s="14"/>
      <c r="N537" s="14"/>
    </row>
    <row r="538" ht="14.25">
      <c r="A538" s="14">
        <v>536</v>
      </c>
      <c r="B538" s="14" t="str">
        <f t="shared" si="71"/>
        <v>Empl_536</v>
      </c>
      <c r="C538" s="14" t="s">
        <v>10</v>
      </c>
      <c r="D538" s="14">
        <v>51000</v>
      </c>
      <c r="E538" s="14">
        <f t="shared" ca="1" si="78"/>
        <v>30</v>
      </c>
      <c r="F538" s="14">
        <v>25</v>
      </c>
      <c r="G538" s="14">
        <f t="shared" si="72"/>
        <v>5</v>
      </c>
      <c r="H538" s="15">
        <f t="shared" si="73"/>
        <v>2040</v>
      </c>
      <c r="I538" s="15">
        <f t="shared" si="74"/>
        <v>51000</v>
      </c>
      <c r="J538" s="14">
        <f t="shared" si="75"/>
        <v>6120</v>
      </c>
      <c r="K538" s="15">
        <f t="shared" si="76"/>
        <v>382.5</v>
      </c>
      <c r="L538" s="15">
        <f t="shared" si="77"/>
        <v>44497.5</v>
      </c>
      <c r="M538" s="14"/>
      <c r="N538" s="14"/>
    </row>
    <row r="539" ht="14.25">
      <c r="A539" s="14">
        <v>537</v>
      </c>
      <c r="B539" s="14" t="str">
        <f t="shared" si="71"/>
        <v>Empl_537</v>
      </c>
      <c r="C539" s="14" t="s">
        <v>13</v>
      </c>
      <c r="D539" s="14">
        <v>23000</v>
      </c>
      <c r="E539" s="14">
        <f t="shared" ca="1" si="78"/>
        <v>30</v>
      </c>
      <c r="F539" s="14">
        <v>23</v>
      </c>
      <c r="G539" s="14">
        <f t="shared" si="72"/>
        <v>7</v>
      </c>
      <c r="H539" s="15">
        <f t="shared" si="73"/>
        <v>1000</v>
      </c>
      <c r="I539" s="15">
        <f t="shared" si="74"/>
        <v>23000</v>
      </c>
      <c r="J539" s="14">
        <f t="shared" si="75"/>
        <v>2760</v>
      </c>
      <c r="K539" s="15">
        <f t="shared" si="76"/>
        <v>172.5</v>
      </c>
      <c r="L539" s="15">
        <f t="shared" si="77"/>
        <v>20067.5</v>
      </c>
      <c r="M539" s="14"/>
      <c r="N539" s="14"/>
    </row>
    <row r="540" ht="14.25">
      <c r="A540" s="14">
        <v>538</v>
      </c>
      <c r="B540" s="14" t="str">
        <f t="shared" si="71"/>
        <v>Empl_538</v>
      </c>
      <c r="C540" s="14" t="s">
        <v>9</v>
      </c>
      <c r="D540" s="14">
        <v>45000</v>
      </c>
      <c r="E540" s="14">
        <f t="shared" ca="1" si="78"/>
        <v>30</v>
      </c>
      <c r="F540" s="14">
        <v>23</v>
      </c>
      <c r="G540" s="14">
        <f t="shared" si="72"/>
        <v>7</v>
      </c>
      <c r="H540" s="15">
        <f t="shared" si="73"/>
        <v>1956.5217391304348</v>
      </c>
      <c r="I540" s="15">
        <f t="shared" si="74"/>
        <v>45000</v>
      </c>
      <c r="J540" s="14">
        <f t="shared" si="75"/>
        <v>5400</v>
      </c>
      <c r="K540" s="15">
        <f t="shared" si="76"/>
        <v>337.5</v>
      </c>
      <c r="L540" s="15">
        <f t="shared" si="77"/>
        <v>39262.5</v>
      </c>
      <c r="M540" s="14"/>
      <c r="N540" s="14"/>
    </row>
    <row r="541" ht="14.25">
      <c r="A541" s="14">
        <v>539</v>
      </c>
      <c r="B541" s="14" t="str">
        <f t="shared" si="71"/>
        <v>Empl_539</v>
      </c>
      <c r="C541" s="14" t="s">
        <v>11</v>
      </c>
      <c r="D541" s="14">
        <v>25000</v>
      </c>
      <c r="E541" s="14">
        <f t="shared" ca="1" si="78"/>
        <v>30</v>
      </c>
      <c r="F541" s="14">
        <v>20</v>
      </c>
      <c r="G541" s="14">
        <f t="shared" si="72"/>
        <v>10</v>
      </c>
      <c r="H541" s="15">
        <f t="shared" si="73"/>
        <v>1250</v>
      </c>
      <c r="I541" s="15">
        <f t="shared" si="74"/>
        <v>25000</v>
      </c>
      <c r="J541" s="14">
        <f t="shared" si="75"/>
        <v>3000</v>
      </c>
      <c r="K541" s="15">
        <f t="shared" si="76"/>
        <v>187.5</v>
      </c>
      <c r="L541" s="15">
        <f t="shared" si="77"/>
        <v>21812.5</v>
      </c>
      <c r="M541" s="14"/>
      <c r="N541" s="14"/>
    </row>
    <row r="542" ht="14.25">
      <c r="A542" s="14">
        <v>540</v>
      </c>
      <c r="B542" s="14" t="str">
        <f t="shared" si="71"/>
        <v>Empl_540</v>
      </c>
      <c r="C542" s="14" t="s">
        <v>8</v>
      </c>
      <c r="D542" s="14">
        <v>15000</v>
      </c>
      <c r="E542" s="14">
        <f t="shared" ca="1" si="78"/>
        <v>30</v>
      </c>
      <c r="F542" s="14">
        <v>22</v>
      </c>
      <c r="G542" s="14">
        <f t="shared" si="72"/>
        <v>8</v>
      </c>
      <c r="H542" s="15">
        <f t="shared" si="73"/>
        <v>681.81818181818187</v>
      </c>
      <c r="I542" s="15">
        <f t="shared" si="74"/>
        <v>15000.000000000002</v>
      </c>
      <c r="J542" s="14">
        <f t="shared" si="75"/>
        <v>1800.0000000000002</v>
      </c>
      <c r="K542" s="15">
        <f t="shared" si="76"/>
        <v>112.50000000000001</v>
      </c>
      <c r="L542" s="15">
        <f t="shared" si="77"/>
        <v>13087.500000000002</v>
      </c>
      <c r="M542" s="14"/>
      <c r="N542" s="14"/>
    </row>
    <row r="543" ht="14.25">
      <c r="A543" s="14">
        <v>541</v>
      </c>
      <c r="B543" s="14" t="str">
        <f t="shared" si="71"/>
        <v>Empl_541</v>
      </c>
      <c r="C543" s="14" t="s">
        <v>12</v>
      </c>
      <c r="D543" s="14">
        <v>32000</v>
      </c>
      <c r="E543" s="14">
        <f t="shared" ca="1" si="78"/>
        <v>30</v>
      </c>
      <c r="F543" s="14">
        <v>21</v>
      </c>
      <c r="G543" s="14">
        <f t="shared" si="72"/>
        <v>9</v>
      </c>
      <c r="H543" s="15">
        <f t="shared" si="73"/>
        <v>1523.8095238095239</v>
      </c>
      <c r="I543" s="15">
        <f t="shared" si="74"/>
        <v>32000</v>
      </c>
      <c r="J543" s="14">
        <f t="shared" si="75"/>
        <v>3840</v>
      </c>
      <c r="K543" s="15">
        <f t="shared" si="76"/>
        <v>240</v>
      </c>
      <c r="L543" s="15">
        <f t="shared" si="77"/>
        <v>27920</v>
      </c>
      <c r="M543" s="14"/>
      <c r="N543" s="14"/>
    </row>
    <row r="544" ht="14.25">
      <c r="A544" s="14">
        <v>542</v>
      </c>
      <c r="B544" s="14" t="str">
        <f t="shared" si="71"/>
        <v>Empl_542</v>
      </c>
      <c r="C544" s="14" t="s">
        <v>10</v>
      </c>
      <c r="D544" s="14">
        <v>57000</v>
      </c>
      <c r="E544" s="14">
        <f t="shared" ca="1" si="78"/>
        <v>30</v>
      </c>
      <c r="F544" s="14">
        <v>29</v>
      </c>
      <c r="G544" s="14">
        <f t="shared" si="72"/>
        <v>1</v>
      </c>
      <c r="H544" s="15">
        <f t="shared" si="73"/>
        <v>1965.5172413793102</v>
      </c>
      <c r="I544" s="15">
        <f t="shared" si="74"/>
        <v>57000</v>
      </c>
      <c r="J544" s="14">
        <f t="shared" si="75"/>
        <v>6840</v>
      </c>
      <c r="K544" s="15">
        <f t="shared" si="76"/>
        <v>427.5</v>
      </c>
      <c r="L544" s="15">
        <f t="shared" si="77"/>
        <v>49732.5</v>
      </c>
      <c r="M544" s="14"/>
      <c r="N544" s="14"/>
    </row>
    <row r="545" ht="14.25">
      <c r="A545" s="14">
        <v>543</v>
      </c>
      <c r="B545" s="14" t="str">
        <f t="shared" si="71"/>
        <v>Empl_543</v>
      </c>
      <c r="C545" s="14" t="s">
        <v>13</v>
      </c>
      <c r="D545" s="14">
        <v>25000</v>
      </c>
      <c r="E545" s="14">
        <f t="shared" ca="1" si="78"/>
        <v>30</v>
      </c>
      <c r="F545" s="14">
        <v>24</v>
      </c>
      <c r="G545" s="14">
        <f t="shared" si="72"/>
        <v>6</v>
      </c>
      <c r="H545" s="15">
        <f t="shared" si="73"/>
        <v>1041.6666666666667</v>
      </c>
      <c r="I545" s="15">
        <f t="shared" si="74"/>
        <v>25000</v>
      </c>
      <c r="J545" s="14">
        <f t="shared" si="75"/>
        <v>3000</v>
      </c>
      <c r="K545" s="15">
        <f t="shared" si="76"/>
        <v>187.5</v>
      </c>
      <c r="L545" s="15">
        <f t="shared" si="77"/>
        <v>21812.5</v>
      </c>
      <c r="M545" s="14"/>
      <c r="N545" s="14"/>
    </row>
    <row r="546" ht="14.25">
      <c r="A546" s="14">
        <v>544</v>
      </c>
      <c r="B546" s="14" t="str">
        <f t="shared" si="71"/>
        <v>Empl_544</v>
      </c>
      <c r="C546" s="14" t="s">
        <v>9</v>
      </c>
      <c r="D546" s="14">
        <v>19000</v>
      </c>
      <c r="E546" s="14">
        <f t="shared" ca="1" si="78"/>
        <v>30</v>
      </c>
      <c r="F546" s="14">
        <v>26</v>
      </c>
      <c r="G546" s="14">
        <f t="shared" si="72"/>
        <v>4</v>
      </c>
      <c r="H546" s="15">
        <f t="shared" si="73"/>
        <v>730.76923076923072</v>
      </c>
      <c r="I546" s="15">
        <f t="shared" si="74"/>
        <v>19000</v>
      </c>
      <c r="J546" s="14">
        <f t="shared" si="75"/>
        <v>2280</v>
      </c>
      <c r="K546" s="15">
        <f t="shared" si="76"/>
        <v>142.5</v>
      </c>
      <c r="L546" s="15">
        <f t="shared" si="77"/>
        <v>16577.5</v>
      </c>
      <c r="M546" s="14"/>
      <c r="N546" s="14"/>
    </row>
    <row r="547" ht="14.25">
      <c r="A547" s="14">
        <v>545</v>
      </c>
      <c r="B547" s="14" t="str">
        <f t="shared" si="71"/>
        <v>Empl_545</v>
      </c>
      <c r="C547" s="14" t="s">
        <v>11</v>
      </c>
      <c r="D547" s="14">
        <v>35000</v>
      </c>
      <c r="E547" s="14">
        <f t="shared" ca="1" si="78"/>
        <v>30</v>
      </c>
      <c r="F547" s="14">
        <v>24</v>
      </c>
      <c r="G547" s="14">
        <f t="shared" si="72"/>
        <v>6</v>
      </c>
      <c r="H547" s="15">
        <f t="shared" si="73"/>
        <v>1458.3333333333333</v>
      </c>
      <c r="I547" s="15">
        <f t="shared" si="74"/>
        <v>35000</v>
      </c>
      <c r="J547" s="14">
        <f t="shared" si="75"/>
        <v>4200</v>
      </c>
      <c r="K547" s="15">
        <f t="shared" si="76"/>
        <v>262.5</v>
      </c>
      <c r="L547" s="15">
        <f t="shared" si="77"/>
        <v>30537.5</v>
      </c>
      <c r="M547" s="14"/>
      <c r="N547" s="14"/>
    </row>
    <row r="548" ht="14.25">
      <c r="A548" s="14">
        <v>546</v>
      </c>
      <c r="B548" s="14" t="str">
        <f t="shared" ref="B548:B611" si="79">"Empl_"&amp;A548</f>
        <v>Empl_546</v>
      </c>
      <c r="C548" s="14" t="s">
        <v>8</v>
      </c>
      <c r="D548" s="14">
        <v>27000</v>
      </c>
      <c r="E548" s="14">
        <f t="shared" ca="1" si="78"/>
        <v>30</v>
      </c>
      <c r="F548" s="14">
        <v>23</v>
      </c>
      <c r="G548" s="14">
        <f t="shared" ref="G548:G611" si="80">E548-F548</f>
        <v>7</v>
      </c>
      <c r="H548" s="15">
        <f t="shared" ref="H548:H611" si="81">D548/F548</f>
        <v>1173.9130434782608</v>
      </c>
      <c r="I548" s="15">
        <f t="shared" ref="I548:I611" si="82">H548*F548</f>
        <v>26999.999999999996</v>
      </c>
      <c r="J548" s="14">
        <f t="shared" ref="J548:J611" si="83">I548*12%</f>
        <v>3239.9999999999995</v>
      </c>
      <c r="K548" s="15">
        <f t="shared" ref="K548:K611" si="84">I548*0.75%</f>
        <v>202.49999999999997</v>
      </c>
      <c r="L548" s="15">
        <f t="shared" ref="L548:L611" si="85">I548-(J548+K548)</f>
        <v>23557.499999999996</v>
      </c>
      <c r="M548" s="14"/>
      <c r="N548" s="14"/>
    </row>
    <row r="549" ht="14.25">
      <c r="A549" s="14">
        <v>547</v>
      </c>
      <c r="B549" s="14" t="str">
        <f t="shared" si="79"/>
        <v>Empl_547</v>
      </c>
      <c r="C549" s="14" t="s">
        <v>12</v>
      </c>
      <c r="D549" s="14">
        <v>36000</v>
      </c>
      <c r="E549" s="14">
        <f t="shared" ca="1" si="78"/>
        <v>30</v>
      </c>
      <c r="F549" s="14">
        <v>20</v>
      </c>
      <c r="G549" s="14">
        <f t="shared" si="80"/>
        <v>10</v>
      </c>
      <c r="H549" s="15">
        <f t="shared" si="81"/>
        <v>1800</v>
      </c>
      <c r="I549" s="15">
        <f t="shared" si="82"/>
        <v>36000</v>
      </c>
      <c r="J549" s="14">
        <f t="shared" si="83"/>
        <v>4320</v>
      </c>
      <c r="K549" s="15">
        <f t="shared" si="84"/>
        <v>270</v>
      </c>
      <c r="L549" s="15">
        <f t="shared" si="85"/>
        <v>31410</v>
      </c>
      <c r="M549" s="14"/>
      <c r="N549" s="14"/>
    </row>
    <row r="550" ht="14.25">
      <c r="A550" s="14">
        <v>548</v>
      </c>
      <c r="B550" s="14" t="str">
        <f t="shared" si="79"/>
        <v>Empl_548</v>
      </c>
      <c r="C550" s="14" t="s">
        <v>10</v>
      </c>
      <c r="D550" s="14">
        <v>24000</v>
      </c>
      <c r="E550" s="14">
        <f t="shared" ca="1" si="78"/>
        <v>30</v>
      </c>
      <c r="F550" s="14">
        <v>20</v>
      </c>
      <c r="G550" s="14">
        <f t="shared" si="80"/>
        <v>10</v>
      </c>
      <c r="H550" s="15">
        <f t="shared" si="81"/>
        <v>1200</v>
      </c>
      <c r="I550" s="15">
        <f t="shared" si="82"/>
        <v>24000</v>
      </c>
      <c r="J550" s="14">
        <f t="shared" si="83"/>
        <v>2880</v>
      </c>
      <c r="K550" s="15">
        <f t="shared" si="84"/>
        <v>180</v>
      </c>
      <c r="L550" s="15">
        <f t="shared" si="85"/>
        <v>20940</v>
      </c>
      <c r="M550" s="14"/>
      <c r="N550" s="14"/>
    </row>
    <row r="551" ht="14.25">
      <c r="A551" s="14">
        <v>549</v>
      </c>
      <c r="B551" s="14" t="str">
        <f t="shared" si="79"/>
        <v>Empl_549</v>
      </c>
      <c r="C551" s="14" t="s">
        <v>13</v>
      </c>
      <c r="D551" s="14">
        <v>27000</v>
      </c>
      <c r="E551" s="14">
        <f t="shared" ca="1" si="78"/>
        <v>30</v>
      </c>
      <c r="F551" s="14">
        <v>25</v>
      </c>
      <c r="G551" s="14">
        <f t="shared" si="80"/>
        <v>5</v>
      </c>
      <c r="H551" s="15">
        <f t="shared" si="81"/>
        <v>1080</v>
      </c>
      <c r="I551" s="15">
        <f t="shared" si="82"/>
        <v>27000</v>
      </c>
      <c r="J551" s="14">
        <f t="shared" si="83"/>
        <v>3240</v>
      </c>
      <c r="K551" s="15">
        <f t="shared" si="84"/>
        <v>202.5</v>
      </c>
      <c r="L551" s="15">
        <f t="shared" si="85"/>
        <v>23557.5</v>
      </c>
      <c r="M551" s="14"/>
      <c r="N551" s="14"/>
    </row>
    <row r="552" ht="14.25">
      <c r="A552" s="14">
        <v>550</v>
      </c>
      <c r="B552" s="14" t="str">
        <f t="shared" si="79"/>
        <v>Empl_550</v>
      </c>
      <c r="C552" s="14" t="s">
        <v>9</v>
      </c>
      <c r="D552" s="14">
        <v>59000</v>
      </c>
      <c r="E552" s="14">
        <f t="shared" ca="1" si="78"/>
        <v>30</v>
      </c>
      <c r="F552" s="14">
        <v>27</v>
      </c>
      <c r="G552" s="14">
        <f t="shared" si="80"/>
        <v>3</v>
      </c>
      <c r="H552" s="15">
        <f t="shared" si="81"/>
        <v>2185.1851851851852</v>
      </c>
      <c r="I552" s="15">
        <f t="shared" si="82"/>
        <v>59000</v>
      </c>
      <c r="J552" s="14">
        <f t="shared" si="83"/>
        <v>7080</v>
      </c>
      <c r="K552" s="15">
        <f t="shared" si="84"/>
        <v>442.5</v>
      </c>
      <c r="L552" s="15">
        <f t="shared" si="85"/>
        <v>51477.5</v>
      </c>
      <c r="M552" s="14"/>
      <c r="N552" s="14"/>
    </row>
    <row r="553" ht="14.25">
      <c r="A553" s="14">
        <v>551</v>
      </c>
      <c r="B553" s="14" t="str">
        <f t="shared" si="79"/>
        <v>Empl_551</v>
      </c>
      <c r="C553" s="14" t="s">
        <v>11</v>
      </c>
      <c r="D553" s="14">
        <v>57000</v>
      </c>
      <c r="E553" s="14">
        <f t="shared" ca="1" si="78"/>
        <v>30</v>
      </c>
      <c r="F553" s="14">
        <v>20</v>
      </c>
      <c r="G553" s="14">
        <f t="shared" si="80"/>
        <v>10</v>
      </c>
      <c r="H553" s="15">
        <f t="shared" si="81"/>
        <v>2850</v>
      </c>
      <c r="I553" s="15">
        <f t="shared" si="82"/>
        <v>57000</v>
      </c>
      <c r="J553" s="14">
        <f t="shared" si="83"/>
        <v>6840</v>
      </c>
      <c r="K553" s="15">
        <f t="shared" si="84"/>
        <v>427.5</v>
      </c>
      <c r="L553" s="15">
        <f t="shared" si="85"/>
        <v>49732.5</v>
      </c>
      <c r="M553" s="14"/>
      <c r="N553" s="14"/>
    </row>
    <row r="554" ht="14.25">
      <c r="A554" s="14">
        <v>552</v>
      </c>
      <c r="B554" s="14" t="str">
        <f t="shared" si="79"/>
        <v>Empl_552</v>
      </c>
      <c r="C554" s="14" t="s">
        <v>8</v>
      </c>
      <c r="D554" s="14">
        <v>46000</v>
      </c>
      <c r="E554" s="14">
        <f t="shared" ca="1" si="78"/>
        <v>30</v>
      </c>
      <c r="F554" s="14">
        <v>25</v>
      </c>
      <c r="G554" s="14">
        <f t="shared" si="80"/>
        <v>5</v>
      </c>
      <c r="H554" s="15">
        <f t="shared" si="81"/>
        <v>1840</v>
      </c>
      <c r="I554" s="15">
        <f t="shared" si="82"/>
        <v>46000</v>
      </c>
      <c r="J554" s="14">
        <f t="shared" si="83"/>
        <v>5520</v>
      </c>
      <c r="K554" s="15">
        <f t="shared" si="84"/>
        <v>345</v>
      </c>
      <c r="L554" s="15">
        <f t="shared" si="85"/>
        <v>40135</v>
      </c>
      <c r="M554" s="14"/>
      <c r="N554" s="14"/>
    </row>
    <row r="555" ht="14.25">
      <c r="A555" s="14">
        <v>553</v>
      </c>
      <c r="B555" s="14" t="str">
        <f t="shared" si="79"/>
        <v>Empl_553</v>
      </c>
      <c r="C555" s="14" t="s">
        <v>12</v>
      </c>
      <c r="D555" s="14">
        <v>43000</v>
      </c>
      <c r="E555" s="14">
        <f t="shared" ca="1" si="78"/>
        <v>30</v>
      </c>
      <c r="F555" s="14">
        <v>22</v>
      </c>
      <c r="G555" s="14">
        <f t="shared" si="80"/>
        <v>8</v>
      </c>
      <c r="H555" s="15">
        <f t="shared" si="81"/>
        <v>1954.5454545454545</v>
      </c>
      <c r="I555" s="15">
        <f t="shared" si="82"/>
        <v>43000</v>
      </c>
      <c r="J555" s="14">
        <f t="shared" si="83"/>
        <v>5160</v>
      </c>
      <c r="K555" s="15">
        <f t="shared" si="84"/>
        <v>322.5</v>
      </c>
      <c r="L555" s="15">
        <f t="shared" si="85"/>
        <v>37517.5</v>
      </c>
      <c r="M555" s="14"/>
      <c r="N555" s="14"/>
    </row>
    <row r="556" ht="14.25">
      <c r="A556" s="14">
        <v>554</v>
      </c>
      <c r="B556" s="14" t="str">
        <f t="shared" si="79"/>
        <v>Empl_554</v>
      </c>
      <c r="C556" s="14" t="s">
        <v>10</v>
      </c>
      <c r="D556" s="14">
        <v>29000</v>
      </c>
      <c r="E556" s="14">
        <f t="shared" ca="1" si="78"/>
        <v>30</v>
      </c>
      <c r="F556" s="14">
        <v>21</v>
      </c>
      <c r="G556" s="14">
        <f t="shared" si="80"/>
        <v>9</v>
      </c>
      <c r="H556" s="15">
        <f t="shared" si="81"/>
        <v>1380.952380952381</v>
      </c>
      <c r="I556" s="15">
        <f t="shared" si="82"/>
        <v>29000</v>
      </c>
      <c r="J556" s="14">
        <f t="shared" si="83"/>
        <v>3480</v>
      </c>
      <c r="K556" s="15">
        <f t="shared" si="84"/>
        <v>217.5</v>
      </c>
      <c r="L556" s="15">
        <f t="shared" si="85"/>
        <v>25302.5</v>
      </c>
      <c r="M556" s="14"/>
      <c r="N556" s="14"/>
    </row>
    <row r="557" ht="14.25">
      <c r="A557" s="14">
        <v>555</v>
      </c>
      <c r="B557" s="14" t="str">
        <f t="shared" si="79"/>
        <v>Empl_555</v>
      </c>
      <c r="C557" s="14" t="s">
        <v>13</v>
      </c>
      <c r="D557" s="14">
        <v>24000</v>
      </c>
      <c r="E557" s="14">
        <f t="shared" ca="1" si="78"/>
        <v>30</v>
      </c>
      <c r="F557" s="14">
        <v>28</v>
      </c>
      <c r="G557" s="14">
        <f t="shared" si="80"/>
        <v>2</v>
      </c>
      <c r="H557" s="15">
        <f t="shared" si="81"/>
        <v>857.14285714285711</v>
      </c>
      <c r="I557" s="15">
        <f t="shared" si="82"/>
        <v>24000</v>
      </c>
      <c r="J557" s="14">
        <f t="shared" si="83"/>
        <v>2880</v>
      </c>
      <c r="K557" s="15">
        <f t="shared" si="84"/>
        <v>180</v>
      </c>
      <c r="L557" s="15">
        <f t="shared" si="85"/>
        <v>20940</v>
      </c>
      <c r="M557" s="14"/>
      <c r="N557" s="14"/>
    </row>
    <row r="558" ht="14.25">
      <c r="A558" s="14">
        <v>556</v>
      </c>
      <c r="B558" s="14" t="str">
        <f t="shared" si="79"/>
        <v>Empl_556</v>
      </c>
      <c r="C558" s="14" t="s">
        <v>9</v>
      </c>
      <c r="D558" s="14">
        <v>49000</v>
      </c>
      <c r="E558" s="14">
        <f t="shared" ca="1" si="78"/>
        <v>30</v>
      </c>
      <c r="F558" s="14">
        <v>29</v>
      </c>
      <c r="G558" s="14">
        <f t="shared" si="80"/>
        <v>1</v>
      </c>
      <c r="H558" s="15">
        <f t="shared" si="81"/>
        <v>1689.655172413793</v>
      </c>
      <c r="I558" s="15">
        <f t="shared" si="82"/>
        <v>49000</v>
      </c>
      <c r="J558" s="14">
        <f t="shared" si="83"/>
        <v>5880</v>
      </c>
      <c r="K558" s="15">
        <f t="shared" si="84"/>
        <v>367.5</v>
      </c>
      <c r="L558" s="15">
        <f t="shared" si="85"/>
        <v>42752.5</v>
      </c>
      <c r="M558" s="14"/>
      <c r="N558" s="14"/>
    </row>
    <row r="559" ht="14.25">
      <c r="A559" s="14">
        <v>557</v>
      </c>
      <c r="B559" s="14" t="str">
        <f t="shared" si="79"/>
        <v>Empl_557</v>
      </c>
      <c r="C559" s="14" t="s">
        <v>11</v>
      </c>
      <c r="D559" s="14">
        <v>30000</v>
      </c>
      <c r="E559" s="14">
        <f t="shared" ca="1" si="78"/>
        <v>30</v>
      </c>
      <c r="F559" s="14">
        <v>27</v>
      </c>
      <c r="G559" s="14">
        <f t="shared" si="80"/>
        <v>3</v>
      </c>
      <c r="H559" s="15">
        <f t="shared" si="81"/>
        <v>1111.1111111111111</v>
      </c>
      <c r="I559" s="15">
        <f t="shared" si="82"/>
        <v>30000</v>
      </c>
      <c r="J559" s="14">
        <f t="shared" si="83"/>
        <v>3600</v>
      </c>
      <c r="K559" s="15">
        <f t="shared" si="84"/>
        <v>225</v>
      </c>
      <c r="L559" s="15">
        <f t="shared" si="85"/>
        <v>26175</v>
      </c>
      <c r="M559" s="14"/>
      <c r="N559" s="14"/>
    </row>
    <row r="560" ht="14.25">
      <c r="A560" s="14">
        <v>558</v>
      </c>
      <c r="B560" s="14" t="str">
        <f t="shared" si="79"/>
        <v>Empl_558</v>
      </c>
      <c r="C560" s="14" t="s">
        <v>8</v>
      </c>
      <c r="D560" s="14">
        <v>58000</v>
      </c>
      <c r="E560" s="14">
        <f t="shared" ca="1" si="78"/>
        <v>30</v>
      </c>
      <c r="F560" s="14">
        <v>30</v>
      </c>
      <c r="G560" s="14">
        <f t="shared" si="80"/>
        <v>0</v>
      </c>
      <c r="H560" s="15">
        <f t="shared" si="81"/>
        <v>1933.3333333333333</v>
      </c>
      <c r="I560" s="15">
        <f t="shared" si="82"/>
        <v>58000</v>
      </c>
      <c r="J560" s="14">
        <f t="shared" si="83"/>
        <v>6960</v>
      </c>
      <c r="K560" s="15">
        <f t="shared" si="84"/>
        <v>435</v>
      </c>
      <c r="L560" s="15">
        <f t="shared" si="85"/>
        <v>50605</v>
      </c>
      <c r="M560" s="14"/>
      <c r="N560" s="14"/>
    </row>
    <row r="561" ht="14.25">
      <c r="A561" s="14">
        <v>559</v>
      </c>
      <c r="B561" s="14" t="str">
        <f t="shared" si="79"/>
        <v>Empl_559</v>
      </c>
      <c r="C561" s="14" t="s">
        <v>12</v>
      </c>
      <c r="D561" s="14">
        <v>32000</v>
      </c>
      <c r="E561" s="14">
        <f t="shared" ca="1" si="78"/>
        <v>30</v>
      </c>
      <c r="F561" s="14">
        <v>21</v>
      </c>
      <c r="G561" s="14">
        <f t="shared" si="80"/>
        <v>9</v>
      </c>
      <c r="H561" s="15">
        <f t="shared" si="81"/>
        <v>1523.8095238095239</v>
      </c>
      <c r="I561" s="15">
        <f t="shared" si="82"/>
        <v>32000</v>
      </c>
      <c r="J561" s="14">
        <f t="shared" si="83"/>
        <v>3840</v>
      </c>
      <c r="K561" s="15">
        <f t="shared" si="84"/>
        <v>240</v>
      </c>
      <c r="L561" s="15">
        <f t="shared" si="85"/>
        <v>27920</v>
      </c>
      <c r="M561" s="14"/>
      <c r="N561" s="14"/>
    </row>
    <row r="562" ht="14.25">
      <c r="A562" s="14">
        <v>560</v>
      </c>
      <c r="B562" s="14" t="str">
        <f t="shared" si="79"/>
        <v>Empl_560</v>
      </c>
      <c r="C562" s="14" t="s">
        <v>10</v>
      </c>
      <c r="D562" s="14">
        <v>44000</v>
      </c>
      <c r="E562" s="14">
        <f t="shared" ca="1" si="78"/>
        <v>30</v>
      </c>
      <c r="F562" s="14">
        <v>25</v>
      </c>
      <c r="G562" s="14">
        <f t="shared" si="80"/>
        <v>5</v>
      </c>
      <c r="H562" s="15">
        <f t="shared" si="81"/>
        <v>1760</v>
      </c>
      <c r="I562" s="15">
        <f t="shared" si="82"/>
        <v>44000</v>
      </c>
      <c r="J562" s="14">
        <f t="shared" si="83"/>
        <v>5280</v>
      </c>
      <c r="K562" s="15">
        <f t="shared" si="84"/>
        <v>330</v>
      </c>
      <c r="L562" s="15">
        <f t="shared" si="85"/>
        <v>38390</v>
      </c>
      <c r="M562" s="14"/>
      <c r="N562" s="14"/>
    </row>
    <row r="563" ht="14.25">
      <c r="A563" s="14">
        <v>561</v>
      </c>
      <c r="B563" s="14" t="str">
        <f t="shared" si="79"/>
        <v>Empl_561</v>
      </c>
      <c r="C563" s="14" t="s">
        <v>13</v>
      </c>
      <c r="D563" s="14">
        <v>53000</v>
      </c>
      <c r="E563" s="14">
        <f t="shared" ca="1" si="78"/>
        <v>30</v>
      </c>
      <c r="F563" s="14">
        <v>25</v>
      </c>
      <c r="G563" s="14">
        <f t="shared" si="80"/>
        <v>5</v>
      </c>
      <c r="H563" s="15">
        <f t="shared" si="81"/>
        <v>2120</v>
      </c>
      <c r="I563" s="15">
        <f t="shared" si="82"/>
        <v>53000</v>
      </c>
      <c r="J563" s="14">
        <f t="shared" si="83"/>
        <v>6360</v>
      </c>
      <c r="K563" s="15">
        <f t="shared" si="84"/>
        <v>397.5</v>
      </c>
      <c r="L563" s="15">
        <f t="shared" si="85"/>
        <v>46242.5</v>
      </c>
      <c r="M563" s="14"/>
      <c r="N563" s="14"/>
    </row>
    <row r="564" ht="14.25">
      <c r="A564" s="14">
        <v>562</v>
      </c>
      <c r="B564" s="14" t="str">
        <f t="shared" si="79"/>
        <v>Empl_562</v>
      </c>
      <c r="C564" s="14" t="s">
        <v>9</v>
      </c>
      <c r="D564" s="14">
        <v>26000</v>
      </c>
      <c r="E564" s="14">
        <f t="shared" ca="1" si="78"/>
        <v>30</v>
      </c>
      <c r="F564" s="14">
        <v>27</v>
      </c>
      <c r="G564" s="14">
        <f t="shared" si="80"/>
        <v>3</v>
      </c>
      <c r="H564" s="15">
        <f t="shared" si="81"/>
        <v>962.96296296296293</v>
      </c>
      <c r="I564" s="15">
        <f t="shared" si="82"/>
        <v>26000</v>
      </c>
      <c r="J564" s="14">
        <f t="shared" si="83"/>
        <v>3120</v>
      </c>
      <c r="K564" s="15">
        <f t="shared" si="84"/>
        <v>195</v>
      </c>
      <c r="L564" s="15">
        <f t="shared" si="85"/>
        <v>22685</v>
      </c>
      <c r="M564" s="14"/>
      <c r="N564" s="14"/>
    </row>
    <row r="565" ht="14.25">
      <c r="A565" s="14">
        <v>563</v>
      </c>
      <c r="B565" s="14" t="str">
        <f t="shared" si="79"/>
        <v>Empl_563</v>
      </c>
      <c r="C565" s="14" t="s">
        <v>11</v>
      </c>
      <c r="D565" s="14">
        <v>21000</v>
      </c>
      <c r="E565" s="14">
        <f t="shared" ca="1" si="78"/>
        <v>30</v>
      </c>
      <c r="F565" s="14">
        <v>24</v>
      </c>
      <c r="G565" s="14">
        <f t="shared" si="80"/>
        <v>6</v>
      </c>
      <c r="H565" s="15">
        <f t="shared" si="81"/>
        <v>875</v>
      </c>
      <c r="I565" s="15">
        <f t="shared" si="82"/>
        <v>21000</v>
      </c>
      <c r="J565" s="14">
        <f t="shared" si="83"/>
        <v>2520</v>
      </c>
      <c r="K565" s="15">
        <f t="shared" si="84"/>
        <v>157.5</v>
      </c>
      <c r="L565" s="15">
        <f t="shared" si="85"/>
        <v>18322.5</v>
      </c>
      <c r="M565" s="14"/>
      <c r="N565" s="14"/>
    </row>
    <row r="566" ht="14.25">
      <c r="A566" s="14">
        <v>564</v>
      </c>
      <c r="B566" s="14" t="str">
        <f t="shared" si="79"/>
        <v>Empl_564</v>
      </c>
      <c r="C566" s="14" t="s">
        <v>8</v>
      </c>
      <c r="D566" s="14">
        <v>51000</v>
      </c>
      <c r="E566" s="14">
        <f t="shared" ca="1" si="78"/>
        <v>30</v>
      </c>
      <c r="F566" s="14">
        <v>30</v>
      </c>
      <c r="G566" s="14">
        <f t="shared" si="80"/>
        <v>0</v>
      </c>
      <c r="H566" s="15">
        <f t="shared" si="81"/>
        <v>1700</v>
      </c>
      <c r="I566" s="15">
        <f t="shared" si="82"/>
        <v>51000</v>
      </c>
      <c r="J566" s="14">
        <f t="shared" si="83"/>
        <v>6120</v>
      </c>
      <c r="K566" s="15">
        <f t="shared" si="84"/>
        <v>382.5</v>
      </c>
      <c r="L566" s="15">
        <f t="shared" si="85"/>
        <v>44497.5</v>
      </c>
      <c r="M566" s="14"/>
      <c r="N566" s="14"/>
    </row>
    <row r="567" ht="14.25">
      <c r="A567" s="14">
        <v>565</v>
      </c>
      <c r="B567" s="14" t="str">
        <f t="shared" si="79"/>
        <v>Empl_565</v>
      </c>
      <c r="C567" s="14" t="s">
        <v>12</v>
      </c>
      <c r="D567" s="14">
        <v>33000</v>
      </c>
      <c r="E567" s="14">
        <f t="shared" ca="1" si="78"/>
        <v>30</v>
      </c>
      <c r="F567" s="14">
        <v>22</v>
      </c>
      <c r="G567" s="14">
        <f t="shared" si="80"/>
        <v>8</v>
      </c>
      <c r="H567" s="15">
        <f t="shared" si="81"/>
        <v>1500</v>
      </c>
      <c r="I567" s="15">
        <f t="shared" si="82"/>
        <v>33000</v>
      </c>
      <c r="J567" s="14">
        <f t="shared" si="83"/>
        <v>3960</v>
      </c>
      <c r="K567" s="15">
        <f t="shared" si="84"/>
        <v>247.5</v>
      </c>
      <c r="L567" s="15">
        <f t="shared" si="85"/>
        <v>28792.5</v>
      </c>
      <c r="M567" s="14"/>
      <c r="N567" s="14"/>
    </row>
    <row r="568" ht="14.25">
      <c r="A568" s="14">
        <v>566</v>
      </c>
      <c r="B568" s="14" t="str">
        <f t="shared" si="79"/>
        <v>Empl_566</v>
      </c>
      <c r="C568" s="14" t="s">
        <v>10</v>
      </c>
      <c r="D568" s="14">
        <v>45000</v>
      </c>
      <c r="E568" s="14">
        <f t="shared" ca="1" si="78"/>
        <v>30</v>
      </c>
      <c r="F568" s="14">
        <v>24</v>
      </c>
      <c r="G568" s="14">
        <f t="shared" si="80"/>
        <v>6</v>
      </c>
      <c r="H568" s="15">
        <f t="shared" si="81"/>
        <v>1875</v>
      </c>
      <c r="I568" s="15">
        <f t="shared" si="82"/>
        <v>45000</v>
      </c>
      <c r="J568" s="14">
        <f t="shared" si="83"/>
        <v>5400</v>
      </c>
      <c r="K568" s="15">
        <f t="shared" si="84"/>
        <v>337.5</v>
      </c>
      <c r="L568" s="15">
        <f t="shared" si="85"/>
        <v>39262.5</v>
      </c>
      <c r="M568" s="14"/>
      <c r="N568" s="14"/>
    </row>
    <row r="569" ht="14.25">
      <c r="A569" s="14">
        <v>567</v>
      </c>
      <c r="B569" s="14" t="str">
        <f t="shared" si="79"/>
        <v>Empl_567</v>
      </c>
      <c r="C569" s="14" t="s">
        <v>13</v>
      </c>
      <c r="D569" s="14">
        <v>55000</v>
      </c>
      <c r="E569" s="14">
        <f t="shared" ca="1" si="78"/>
        <v>30</v>
      </c>
      <c r="F569" s="14">
        <v>23</v>
      </c>
      <c r="G569" s="14">
        <f t="shared" si="80"/>
        <v>7</v>
      </c>
      <c r="H569" s="15">
        <f t="shared" si="81"/>
        <v>2391.304347826087</v>
      </c>
      <c r="I569" s="15">
        <f t="shared" si="82"/>
        <v>55000</v>
      </c>
      <c r="J569" s="14">
        <f t="shared" si="83"/>
        <v>6600</v>
      </c>
      <c r="K569" s="15">
        <f t="shared" si="84"/>
        <v>412.5</v>
      </c>
      <c r="L569" s="15">
        <f t="shared" si="85"/>
        <v>47987.5</v>
      </c>
      <c r="M569" s="14"/>
      <c r="N569" s="14"/>
    </row>
    <row r="570" ht="14.25">
      <c r="A570" s="14">
        <v>568</v>
      </c>
      <c r="B570" s="14" t="str">
        <f t="shared" si="79"/>
        <v>Empl_568</v>
      </c>
      <c r="C570" s="14" t="s">
        <v>9</v>
      </c>
      <c r="D570" s="14">
        <v>35000</v>
      </c>
      <c r="E570" s="14">
        <f t="shared" ca="1" si="78"/>
        <v>30</v>
      </c>
      <c r="F570" s="14">
        <v>24</v>
      </c>
      <c r="G570" s="14">
        <f t="shared" si="80"/>
        <v>6</v>
      </c>
      <c r="H570" s="15">
        <f t="shared" si="81"/>
        <v>1458.3333333333333</v>
      </c>
      <c r="I570" s="15">
        <f t="shared" si="82"/>
        <v>35000</v>
      </c>
      <c r="J570" s="14">
        <f t="shared" si="83"/>
        <v>4200</v>
      </c>
      <c r="K570" s="15">
        <f t="shared" si="84"/>
        <v>262.5</v>
      </c>
      <c r="L570" s="15">
        <f t="shared" si="85"/>
        <v>30537.5</v>
      </c>
      <c r="M570" s="14"/>
      <c r="N570" s="14"/>
    </row>
    <row r="571" ht="14.25">
      <c r="A571" s="14">
        <v>569</v>
      </c>
      <c r="B571" s="14" t="str">
        <f t="shared" si="79"/>
        <v>Empl_569</v>
      </c>
      <c r="C571" s="14" t="s">
        <v>11</v>
      </c>
      <c r="D571" s="14">
        <v>38000</v>
      </c>
      <c r="E571" s="14">
        <f t="shared" ca="1" si="78"/>
        <v>30</v>
      </c>
      <c r="F571" s="14">
        <v>24</v>
      </c>
      <c r="G571" s="14">
        <f t="shared" si="80"/>
        <v>6</v>
      </c>
      <c r="H571" s="15">
        <f t="shared" si="81"/>
        <v>1583.3333333333333</v>
      </c>
      <c r="I571" s="15">
        <f t="shared" si="82"/>
        <v>38000</v>
      </c>
      <c r="J571" s="14">
        <f t="shared" si="83"/>
        <v>4560</v>
      </c>
      <c r="K571" s="15">
        <f t="shared" si="84"/>
        <v>285</v>
      </c>
      <c r="L571" s="15">
        <f t="shared" si="85"/>
        <v>33155</v>
      </c>
      <c r="M571" s="14"/>
      <c r="N571" s="14"/>
    </row>
    <row r="572" ht="14.25">
      <c r="A572" s="14">
        <v>570</v>
      </c>
      <c r="B572" s="14" t="str">
        <f t="shared" si="79"/>
        <v>Empl_570</v>
      </c>
      <c r="C572" s="14" t="s">
        <v>8</v>
      </c>
      <c r="D572" s="14">
        <v>19000</v>
      </c>
      <c r="E572" s="14">
        <f t="shared" ca="1" si="78"/>
        <v>30</v>
      </c>
      <c r="F572" s="14">
        <v>23</v>
      </c>
      <c r="G572" s="14">
        <f t="shared" si="80"/>
        <v>7</v>
      </c>
      <c r="H572" s="15">
        <f t="shared" si="81"/>
        <v>826.08695652173913</v>
      </c>
      <c r="I572" s="15">
        <f t="shared" si="82"/>
        <v>19000</v>
      </c>
      <c r="J572" s="14">
        <f t="shared" si="83"/>
        <v>2280</v>
      </c>
      <c r="K572" s="15">
        <f t="shared" si="84"/>
        <v>142.5</v>
      </c>
      <c r="L572" s="15">
        <f t="shared" si="85"/>
        <v>16577.5</v>
      </c>
      <c r="M572" s="14"/>
      <c r="N572" s="14"/>
    </row>
    <row r="573" ht="14.25">
      <c r="A573" s="14">
        <v>571</v>
      </c>
      <c r="B573" s="14" t="str">
        <f t="shared" si="79"/>
        <v>Empl_571</v>
      </c>
      <c r="C573" s="14" t="s">
        <v>12</v>
      </c>
      <c r="D573" s="14">
        <v>57000</v>
      </c>
      <c r="E573" s="14">
        <f t="shared" ca="1" si="78"/>
        <v>30</v>
      </c>
      <c r="F573" s="14">
        <v>20</v>
      </c>
      <c r="G573" s="14">
        <f t="shared" si="80"/>
        <v>10</v>
      </c>
      <c r="H573" s="15">
        <f t="shared" si="81"/>
        <v>2850</v>
      </c>
      <c r="I573" s="15">
        <f t="shared" si="82"/>
        <v>57000</v>
      </c>
      <c r="J573" s="14">
        <f t="shared" si="83"/>
        <v>6840</v>
      </c>
      <c r="K573" s="15">
        <f t="shared" si="84"/>
        <v>427.5</v>
      </c>
      <c r="L573" s="15">
        <f t="shared" si="85"/>
        <v>49732.5</v>
      </c>
      <c r="M573" s="14"/>
      <c r="N573" s="14"/>
    </row>
    <row r="574" ht="14.25">
      <c r="A574" s="14">
        <v>572</v>
      </c>
      <c r="B574" s="14" t="str">
        <f t="shared" si="79"/>
        <v>Empl_572</v>
      </c>
      <c r="C574" s="14" t="s">
        <v>10</v>
      </c>
      <c r="D574" s="14">
        <v>22000</v>
      </c>
      <c r="E574" s="14">
        <f t="shared" ca="1" si="78"/>
        <v>30</v>
      </c>
      <c r="F574" s="14">
        <v>25</v>
      </c>
      <c r="G574" s="14">
        <f t="shared" si="80"/>
        <v>5</v>
      </c>
      <c r="H574" s="15">
        <f t="shared" si="81"/>
        <v>880</v>
      </c>
      <c r="I574" s="15">
        <f t="shared" si="82"/>
        <v>22000</v>
      </c>
      <c r="J574" s="14">
        <f t="shared" si="83"/>
        <v>2640</v>
      </c>
      <c r="K574" s="15">
        <f t="shared" si="84"/>
        <v>165</v>
      </c>
      <c r="L574" s="15">
        <f t="shared" si="85"/>
        <v>19195</v>
      </c>
      <c r="M574" s="14"/>
      <c r="N574" s="14"/>
    </row>
    <row r="575" ht="14.25">
      <c r="A575" s="14">
        <v>573</v>
      </c>
      <c r="B575" s="14" t="str">
        <f t="shared" si="79"/>
        <v>Empl_573</v>
      </c>
      <c r="C575" s="14" t="s">
        <v>13</v>
      </c>
      <c r="D575" s="14">
        <v>27000</v>
      </c>
      <c r="E575" s="14">
        <f t="shared" ca="1" si="78"/>
        <v>30</v>
      </c>
      <c r="F575" s="14">
        <v>20</v>
      </c>
      <c r="G575" s="14">
        <f t="shared" si="80"/>
        <v>10</v>
      </c>
      <c r="H575" s="15">
        <f t="shared" si="81"/>
        <v>1350</v>
      </c>
      <c r="I575" s="15">
        <f t="shared" si="82"/>
        <v>27000</v>
      </c>
      <c r="J575" s="14">
        <f t="shared" si="83"/>
        <v>3240</v>
      </c>
      <c r="K575" s="15">
        <f t="shared" si="84"/>
        <v>202.5</v>
      </c>
      <c r="L575" s="15">
        <f t="shared" si="85"/>
        <v>23557.5</v>
      </c>
      <c r="M575" s="14"/>
      <c r="N575" s="14"/>
    </row>
    <row r="576" ht="14.25">
      <c r="A576" s="14">
        <v>574</v>
      </c>
      <c r="B576" s="14" t="str">
        <f t="shared" si="79"/>
        <v>Empl_574</v>
      </c>
      <c r="C576" s="14" t="s">
        <v>9</v>
      </c>
      <c r="D576" s="14">
        <v>34000</v>
      </c>
      <c r="E576" s="14">
        <f t="shared" ca="1" si="78"/>
        <v>30</v>
      </c>
      <c r="F576" s="14">
        <v>28</v>
      </c>
      <c r="G576" s="14">
        <f t="shared" si="80"/>
        <v>2</v>
      </c>
      <c r="H576" s="15">
        <f t="shared" si="81"/>
        <v>1214.2857142857142</v>
      </c>
      <c r="I576" s="15">
        <f t="shared" si="82"/>
        <v>34000</v>
      </c>
      <c r="J576" s="14">
        <f t="shared" si="83"/>
        <v>4080</v>
      </c>
      <c r="K576" s="15">
        <f t="shared" si="84"/>
        <v>255</v>
      </c>
      <c r="L576" s="15">
        <f t="shared" si="85"/>
        <v>29665</v>
      </c>
      <c r="M576" s="14"/>
      <c r="N576" s="14"/>
    </row>
    <row r="577" ht="14.25">
      <c r="A577" s="14">
        <v>575</v>
      </c>
      <c r="B577" s="14" t="str">
        <f t="shared" si="79"/>
        <v>Empl_575</v>
      </c>
      <c r="C577" s="14" t="s">
        <v>11</v>
      </c>
      <c r="D577" s="14">
        <v>54000</v>
      </c>
      <c r="E577" s="14">
        <f t="shared" ca="1" si="78"/>
        <v>30</v>
      </c>
      <c r="F577" s="14">
        <v>28</v>
      </c>
      <c r="G577" s="14">
        <f t="shared" si="80"/>
        <v>2</v>
      </c>
      <c r="H577" s="15">
        <f t="shared" si="81"/>
        <v>1928.5714285714287</v>
      </c>
      <c r="I577" s="15">
        <f t="shared" si="82"/>
        <v>54000</v>
      </c>
      <c r="J577" s="14">
        <f t="shared" si="83"/>
        <v>6480</v>
      </c>
      <c r="K577" s="15">
        <f t="shared" si="84"/>
        <v>405</v>
      </c>
      <c r="L577" s="15">
        <f t="shared" si="85"/>
        <v>47115</v>
      </c>
      <c r="M577" s="14"/>
      <c r="N577" s="14"/>
    </row>
    <row r="578" ht="14.25">
      <c r="A578" s="14">
        <v>576</v>
      </c>
      <c r="B578" s="14" t="str">
        <f t="shared" si="79"/>
        <v>Empl_576</v>
      </c>
      <c r="C578" s="14" t="s">
        <v>8</v>
      </c>
      <c r="D578" s="14">
        <v>27000</v>
      </c>
      <c r="E578" s="14">
        <f t="shared" ca="1" si="78"/>
        <v>30</v>
      </c>
      <c r="F578" s="14">
        <v>21</v>
      </c>
      <c r="G578" s="14">
        <f t="shared" si="80"/>
        <v>9</v>
      </c>
      <c r="H578" s="15">
        <f t="shared" si="81"/>
        <v>1285.7142857142858</v>
      </c>
      <c r="I578" s="15">
        <f t="shared" si="82"/>
        <v>27000</v>
      </c>
      <c r="J578" s="14">
        <f t="shared" si="83"/>
        <v>3240</v>
      </c>
      <c r="K578" s="15">
        <f t="shared" si="84"/>
        <v>202.5</v>
      </c>
      <c r="L578" s="15">
        <f t="shared" si="85"/>
        <v>23557.5</v>
      </c>
      <c r="M578" s="14"/>
      <c r="N578" s="14"/>
    </row>
    <row r="579" ht="14.25">
      <c r="A579" s="14">
        <v>577</v>
      </c>
      <c r="B579" s="14" t="str">
        <f t="shared" si="79"/>
        <v>Empl_577</v>
      </c>
      <c r="C579" s="14" t="s">
        <v>12</v>
      </c>
      <c r="D579" s="14">
        <v>34000</v>
      </c>
      <c r="E579" s="14">
        <f t="shared" ref="E579:E642" ca="1" si="86">DAY(EOMONTH(TODAY(),0))</f>
        <v>30</v>
      </c>
      <c r="F579" s="14">
        <v>21</v>
      </c>
      <c r="G579" s="14">
        <f t="shared" si="80"/>
        <v>9</v>
      </c>
      <c r="H579" s="15">
        <f t="shared" si="81"/>
        <v>1619.047619047619</v>
      </c>
      <c r="I579" s="15">
        <f t="shared" si="82"/>
        <v>34000</v>
      </c>
      <c r="J579" s="14">
        <f t="shared" si="83"/>
        <v>4080</v>
      </c>
      <c r="K579" s="15">
        <f t="shared" si="84"/>
        <v>255</v>
      </c>
      <c r="L579" s="15">
        <f t="shared" si="85"/>
        <v>29665</v>
      </c>
      <c r="M579" s="14"/>
      <c r="N579" s="14"/>
    </row>
    <row r="580" ht="14.25">
      <c r="A580" s="14">
        <v>578</v>
      </c>
      <c r="B580" s="14" t="str">
        <f t="shared" si="79"/>
        <v>Empl_578</v>
      </c>
      <c r="C580" s="14" t="s">
        <v>10</v>
      </c>
      <c r="D580" s="14">
        <v>27000</v>
      </c>
      <c r="E580" s="14">
        <f t="shared" ca="1" si="86"/>
        <v>30</v>
      </c>
      <c r="F580" s="14">
        <v>26</v>
      </c>
      <c r="G580" s="14">
        <f t="shared" si="80"/>
        <v>4</v>
      </c>
      <c r="H580" s="15">
        <f t="shared" si="81"/>
        <v>1038.4615384615386</v>
      </c>
      <c r="I580" s="15">
        <f t="shared" si="82"/>
        <v>27000.000000000004</v>
      </c>
      <c r="J580" s="14">
        <f t="shared" si="83"/>
        <v>3240.0000000000005</v>
      </c>
      <c r="K580" s="15">
        <f t="shared" si="84"/>
        <v>202.50000000000003</v>
      </c>
      <c r="L580" s="15">
        <f t="shared" si="85"/>
        <v>23557.500000000004</v>
      </c>
      <c r="M580" s="14"/>
      <c r="N580" s="14"/>
    </row>
    <row r="581" ht="14.25">
      <c r="A581" s="14">
        <v>579</v>
      </c>
      <c r="B581" s="14" t="str">
        <f t="shared" si="79"/>
        <v>Empl_579</v>
      </c>
      <c r="C581" s="14" t="s">
        <v>13</v>
      </c>
      <c r="D581" s="14">
        <v>50000</v>
      </c>
      <c r="E581" s="14">
        <f t="shared" ca="1" si="86"/>
        <v>30</v>
      </c>
      <c r="F581" s="14">
        <v>30</v>
      </c>
      <c r="G581" s="14">
        <f t="shared" si="80"/>
        <v>0</v>
      </c>
      <c r="H581" s="15">
        <f t="shared" si="81"/>
        <v>1666.6666666666667</v>
      </c>
      <c r="I581" s="15">
        <f t="shared" si="82"/>
        <v>50000</v>
      </c>
      <c r="J581" s="14">
        <f t="shared" si="83"/>
        <v>6000</v>
      </c>
      <c r="K581" s="15">
        <f t="shared" si="84"/>
        <v>375</v>
      </c>
      <c r="L581" s="15">
        <f t="shared" si="85"/>
        <v>43625</v>
      </c>
      <c r="M581" s="14"/>
      <c r="N581" s="14"/>
    </row>
    <row r="582" ht="14.25">
      <c r="A582" s="14">
        <v>580</v>
      </c>
      <c r="B582" s="14" t="str">
        <f t="shared" si="79"/>
        <v>Empl_580</v>
      </c>
      <c r="C582" s="14" t="s">
        <v>9</v>
      </c>
      <c r="D582" s="14">
        <v>36000</v>
      </c>
      <c r="E582" s="14">
        <f t="shared" ca="1" si="86"/>
        <v>30</v>
      </c>
      <c r="F582" s="14">
        <v>28</v>
      </c>
      <c r="G582" s="14">
        <f t="shared" si="80"/>
        <v>2</v>
      </c>
      <c r="H582" s="15">
        <f t="shared" si="81"/>
        <v>1285.7142857142858</v>
      </c>
      <c r="I582" s="15">
        <f t="shared" si="82"/>
        <v>36000</v>
      </c>
      <c r="J582" s="14">
        <f t="shared" si="83"/>
        <v>4320</v>
      </c>
      <c r="K582" s="15">
        <f t="shared" si="84"/>
        <v>270</v>
      </c>
      <c r="L582" s="15">
        <f t="shared" si="85"/>
        <v>31410</v>
      </c>
      <c r="M582" s="14"/>
      <c r="N582" s="14"/>
    </row>
    <row r="583" ht="14.25">
      <c r="A583" s="14">
        <v>581</v>
      </c>
      <c r="B583" s="14" t="str">
        <f t="shared" si="79"/>
        <v>Empl_581</v>
      </c>
      <c r="C583" s="14" t="s">
        <v>11</v>
      </c>
      <c r="D583" s="14">
        <v>52000</v>
      </c>
      <c r="E583" s="14">
        <f t="shared" ca="1" si="86"/>
        <v>30</v>
      </c>
      <c r="F583" s="14">
        <v>22</v>
      </c>
      <c r="G583" s="14">
        <f t="shared" si="80"/>
        <v>8</v>
      </c>
      <c r="H583" s="15">
        <f t="shared" si="81"/>
        <v>2363.6363636363635</v>
      </c>
      <c r="I583" s="15">
        <f t="shared" si="82"/>
        <v>52000</v>
      </c>
      <c r="J583" s="14">
        <f t="shared" si="83"/>
        <v>6240</v>
      </c>
      <c r="K583" s="15">
        <f t="shared" si="84"/>
        <v>390</v>
      </c>
      <c r="L583" s="15">
        <f t="shared" si="85"/>
        <v>45370</v>
      </c>
      <c r="M583" s="14"/>
      <c r="N583" s="14"/>
    </row>
    <row r="584" ht="14.25">
      <c r="A584" s="14">
        <v>582</v>
      </c>
      <c r="B584" s="14" t="str">
        <f t="shared" si="79"/>
        <v>Empl_582</v>
      </c>
      <c r="C584" s="14" t="s">
        <v>8</v>
      </c>
      <c r="D584" s="14">
        <v>38000</v>
      </c>
      <c r="E584" s="14">
        <f t="shared" ca="1" si="86"/>
        <v>30</v>
      </c>
      <c r="F584" s="14">
        <v>28</v>
      </c>
      <c r="G584" s="14">
        <f t="shared" si="80"/>
        <v>2</v>
      </c>
      <c r="H584" s="15">
        <f t="shared" si="81"/>
        <v>1357.1428571428571</v>
      </c>
      <c r="I584" s="15">
        <f t="shared" si="82"/>
        <v>38000</v>
      </c>
      <c r="J584" s="14">
        <f t="shared" si="83"/>
        <v>4560</v>
      </c>
      <c r="K584" s="15">
        <f t="shared" si="84"/>
        <v>285</v>
      </c>
      <c r="L584" s="15">
        <f t="shared" si="85"/>
        <v>33155</v>
      </c>
      <c r="M584" s="14"/>
      <c r="N584" s="14"/>
    </row>
    <row r="585" ht="14.25">
      <c r="A585" s="14">
        <v>583</v>
      </c>
      <c r="B585" s="14" t="str">
        <f t="shared" si="79"/>
        <v>Empl_583</v>
      </c>
      <c r="C585" s="14" t="s">
        <v>12</v>
      </c>
      <c r="D585" s="14">
        <v>41000</v>
      </c>
      <c r="E585" s="14">
        <f t="shared" ca="1" si="86"/>
        <v>30</v>
      </c>
      <c r="F585" s="14">
        <v>23</v>
      </c>
      <c r="G585" s="14">
        <f t="shared" si="80"/>
        <v>7</v>
      </c>
      <c r="H585" s="15">
        <f t="shared" si="81"/>
        <v>1782.608695652174</v>
      </c>
      <c r="I585" s="15">
        <f t="shared" si="82"/>
        <v>41000</v>
      </c>
      <c r="J585" s="14">
        <f t="shared" si="83"/>
        <v>4920</v>
      </c>
      <c r="K585" s="15">
        <f t="shared" si="84"/>
        <v>307.5</v>
      </c>
      <c r="L585" s="15">
        <f t="shared" si="85"/>
        <v>35772.5</v>
      </c>
      <c r="M585" s="14"/>
      <c r="N585" s="14"/>
    </row>
    <row r="586" ht="14.25">
      <c r="A586" s="14">
        <v>584</v>
      </c>
      <c r="B586" s="14" t="str">
        <f t="shared" si="79"/>
        <v>Empl_584</v>
      </c>
      <c r="C586" s="14" t="s">
        <v>10</v>
      </c>
      <c r="D586" s="14">
        <v>43000</v>
      </c>
      <c r="E586" s="14">
        <f t="shared" ca="1" si="86"/>
        <v>30</v>
      </c>
      <c r="F586" s="14">
        <v>24</v>
      </c>
      <c r="G586" s="14">
        <f t="shared" si="80"/>
        <v>6</v>
      </c>
      <c r="H586" s="15">
        <f t="shared" si="81"/>
        <v>1791.6666666666667</v>
      </c>
      <c r="I586" s="15">
        <f t="shared" si="82"/>
        <v>43000</v>
      </c>
      <c r="J586" s="14">
        <f t="shared" si="83"/>
        <v>5160</v>
      </c>
      <c r="K586" s="15">
        <f t="shared" si="84"/>
        <v>322.5</v>
      </c>
      <c r="L586" s="15">
        <f t="shared" si="85"/>
        <v>37517.5</v>
      </c>
      <c r="M586" s="14"/>
      <c r="N586" s="14"/>
    </row>
    <row r="587" ht="14.25">
      <c r="A587" s="14">
        <v>585</v>
      </c>
      <c r="B587" s="14" t="str">
        <f t="shared" si="79"/>
        <v>Empl_585</v>
      </c>
      <c r="C587" s="14" t="s">
        <v>13</v>
      </c>
      <c r="D587" s="14">
        <v>38000</v>
      </c>
      <c r="E587" s="14">
        <f t="shared" ca="1" si="86"/>
        <v>30</v>
      </c>
      <c r="F587" s="14">
        <v>23</v>
      </c>
      <c r="G587" s="14">
        <f t="shared" si="80"/>
        <v>7</v>
      </c>
      <c r="H587" s="15">
        <f t="shared" si="81"/>
        <v>1652.1739130434783</v>
      </c>
      <c r="I587" s="15">
        <f t="shared" si="82"/>
        <v>38000</v>
      </c>
      <c r="J587" s="14">
        <f t="shared" si="83"/>
        <v>4560</v>
      </c>
      <c r="K587" s="15">
        <f t="shared" si="84"/>
        <v>285</v>
      </c>
      <c r="L587" s="15">
        <f t="shared" si="85"/>
        <v>33155</v>
      </c>
      <c r="M587" s="14"/>
      <c r="N587" s="14"/>
    </row>
    <row r="588" ht="14.25">
      <c r="A588" s="14">
        <v>586</v>
      </c>
      <c r="B588" s="14" t="str">
        <f t="shared" si="79"/>
        <v>Empl_586</v>
      </c>
      <c r="C588" s="14" t="s">
        <v>9</v>
      </c>
      <c r="D588" s="14">
        <v>28000</v>
      </c>
      <c r="E588" s="14">
        <f t="shared" ca="1" si="86"/>
        <v>30</v>
      </c>
      <c r="F588" s="14">
        <v>27</v>
      </c>
      <c r="G588" s="14">
        <f t="shared" si="80"/>
        <v>3</v>
      </c>
      <c r="H588" s="15">
        <f t="shared" si="81"/>
        <v>1037.037037037037</v>
      </c>
      <c r="I588" s="15">
        <f t="shared" si="82"/>
        <v>27999.999999999996</v>
      </c>
      <c r="J588" s="14">
        <f t="shared" si="83"/>
        <v>3359.9999999999995</v>
      </c>
      <c r="K588" s="15">
        <f t="shared" si="84"/>
        <v>209.99999999999997</v>
      </c>
      <c r="L588" s="15">
        <f t="shared" si="85"/>
        <v>24429.999999999996</v>
      </c>
      <c r="M588" s="14"/>
      <c r="N588" s="14"/>
    </row>
    <row r="589" ht="14.25">
      <c r="A589" s="14">
        <v>587</v>
      </c>
      <c r="B589" s="14" t="str">
        <f t="shared" si="79"/>
        <v>Empl_587</v>
      </c>
      <c r="C589" s="14" t="s">
        <v>11</v>
      </c>
      <c r="D589" s="14">
        <v>45000</v>
      </c>
      <c r="E589" s="14">
        <f t="shared" ca="1" si="86"/>
        <v>30</v>
      </c>
      <c r="F589" s="14">
        <v>28</v>
      </c>
      <c r="G589" s="14">
        <f t="shared" si="80"/>
        <v>2</v>
      </c>
      <c r="H589" s="15">
        <f t="shared" si="81"/>
        <v>1607.1428571428571</v>
      </c>
      <c r="I589" s="15">
        <f t="shared" si="82"/>
        <v>45000</v>
      </c>
      <c r="J589" s="14">
        <f t="shared" si="83"/>
        <v>5400</v>
      </c>
      <c r="K589" s="15">
        <f t="shared" si="84"/>
        <v>337.5</v>
      </c>
      <c r="L589" s="15">
        <f t="shared" si="85"/>
        <v>39262.5</v>
      </c>
      <c r="M589" s="14"/>
      <c r="N589" s="14"/>
    </row>
    <row r="590" ht="14.25">
      <c r="A590" s="14">
        <v>588</v>
      </c>
      <c r="B590" s="14" t="str">
        <f t="shared" si="79"/>
        <v>Empl_588</v>
      </c>
      <c r="C590" s="14" t="s">
        <v>8</v>
      </c>
      <c r="D590" s="14">
        <v>54000</v>
      </c>
      <c r="E590" s="14">
        <f t="shared" ca="1" si="86"/>
        <v>30</v>
      </c>
      <c r="F590" s="14">
        <v>29</v>
      </c>
      <c r="G590" s="14">
        <f t="shared" si="80"/>
        <v>1</v>
      </c>
      <c r="H590" s="15">
        <f t="shared" si="81"/>
        <v>1862.0689655172414</v>
      </c>
      <c r="I590" s="15">
        <f t="shared" si="82"/>
        <v>54000</v>
      </c>
      <c r="J590" s="14">
        <f t="shared" si="83"/>
        <v>6480</v>
      </c>
      <c r="K590" s="15">
        <f t="shared" si="84"/>
        <v>405</v>
      </c>
      <c r="L590" s="15">
        <f t="shared" si="85"/>
        <v>47115</v>
      </c>
      <c r="M590" s="14"/>
      <c r="N590" s="14"/>
    </row>
    <row r="591" ht="14.25">
      <c r="A591" s="14">
        <v>589</v>
      </c>
      <c r="B591" s="14" t="str">
        <f t="shared" si="79"/>
        <v>Empl_589</v>
      </c>
      <c r="C591" s="14" t="s">
        <v>12</v>
      </c>
      <c r="D591" s="14">
        <v>24000</v>
      </c>
      <c r="E591" s="14">
        <f t="shared" ca="1" si="86"/>
        <v>30</v>
      </c>
      <c r="F591" s="14">
        <v>26</v>
      </c>
      <c r="G591" s="14">
        <f t="shared" si="80"/>
        <v>4</v>
      </c>
      <c r="H591" s="15">
        <f t="shared" si="81"/>
        <v>923.07692307692309</v>
      </c>
      <c r="I591" s="15">
        <f t="shared" si="82"/>
        <v>24000</v>
      </c>
      <c r="J591" s="14">
        <f t="shared" si="83"/>
        <v>2880</v>
      </c>
      <c r="K591" s="15">
        <f t="shared" si="84"/>
        <v>180</v>
      </c>
      <c r="L591" s="15">
        <f t="shared" si="85"/>
        <v>20940</v>
      </c>
      <c r="M591" s="14"/>
      <c r="N591" s="14"/>
    </row>
    <row r="592" ht="14.25">
      <c r="A592" s="14">
        <v>590</v>
      </c>
      <c r="B592" s="14" t="str">
        <f t="shared" si="79"/>
        <v>Empl_590</v>
      </c>
      <c r="C592" s="14" t="s">
        <v>10</v>
      </c>
      <c r="D592" s="14">
        <v>24000</v>
      </c>
      <c r="E592" s="14">
        <f t="shared" ca="1" si="86"/>
        <v>30</v>
      </c>
      <c r="F592" s="14">
        <v>25</v>
      </c>
      <c r="G592" s="14">
        <f t="shared" si="80"/>
        <v>5</v>
      </c>
      <c r="H592" s="15">
        <f t="shared" si="81"/>
        <v>960</v>
      </c>
      <c r="I592" s="15">
        <f t="shared" si="82"/>
        <v>24000</v>
      </c>
      <c r="J592" s="14">
        <f t="shared" si="83"/>
        <v>2880</v>
      </c>
      <c r="K592" s="15">
        <f t="shared" si="84"/>
        <v>180</v>
      </c>
      <c r="L592" s="15">
        <f t="shared" si="85"/>
        <v>20940</v>
      </c>
      <c r="M592" s="14"/>
      <c r="N592" s="14"/>
    </row>
    <row r="593" ht="14.25">
      <c r="A593" s="14">
        <v>591</v>
      </c>
      <c r="B593" s="14" t="str">
        <f t="shared" si="79"/>
        <v>Empl_591</v>
      </c>
      <c r="C593" s="14" t="s">
        <v>13</v>
      </c>
      <c r="D593" s="14">
        <v>30000</v>
      </c>
      <c r="E593" s="14">
        <f t="shared" ca="1" si="86"/>
        <v>30</v>
      </c>
      <c r="F593" s="14">
        <v>27</v>
      </c>
      <c r="G593" s="14">
        <f t="shared" si="80"/>
        <v>3</v>
      </c>
      <c r="H593" s="15">
        <f t="shared" si="81"/>
        <v>1111.1111111111111</v>
      </c>
      <c r="I593" s="15">
        <f t="shared" si="82"/>
        <v>30000</v>
      </c>
      <c r="J593" s="14">
        <f t="shared" si="83"/>
        <v>3600</v>
      </c>
      <c r="K593" s="15">
        <f t="shared" si="84"/>
        <v>225</v>
      </c>
      <c r="L593" s="15">
        <f t="shared" si="85"/>
        <v>26175</v>
      </c>
      <c r="M593" s="14"/>
      <c r="N593" s="14"/>
    </row>
    <row r="594" ht="14.25">
      <c r="A594" s="14">
        <v>592</v>
      </c>
      <c r="B594" s="14" t="str">
        <f t="shared" si="79"/>
        <v>Empl_592</v>
      </c>
      <c r="C594" s="14" t="s">
        <v>9</v>
      </c>
      <c r="D594" s="14">
        <v>15000</v>
      </c>
      <c r="E594" s="14">
        <f t="shared" ca="1" si="86"/>
        <v>30</v>
      </c>
      <c r="F594" s="14">
        <v>25</v>
      </c>
      <c r="G594" s="14">
        <f t="shared" si="80"/>
        <v>5</v>
      </c>
      <c r="H594" s="15">
        <f t="shared" si="81"/>
        <v>600</v>
      </c>
      <c r="I594" s="15">
        <f t="shared" si="82"/>
        <v>15000</v>
      </c>
      <c r="J594" s="14">
        <f t="shared" si="83"/>
        <v>1800</v>
      </c>
      <c r="K594" s="15">
        <f t="shared" si="84"/>
        <v>112.5</v>
      </c>
      <c r="L594" s="15">
        <f t="shared" si="85"/>
        <v>13087.5</v>
      </c>
      <c r="M594" s="14"/>
      <c r="N594" s="14"/>
    </row>
    <row r="595" ht="14.25">
      <c r="A595" s="14">
        <v>593</v>
      </c>
      <c r="B595" s="14" t="str">
        <f t="shared" si="79"/>
        <v>Empl_593</v>
      </c>
      <c r="C595" s="14" t="s">
        <v>11</v>
      </c>
      <c r="D595" s="14">
        <v>50000</v>
      </c>
      <c r="E595" s="14">
        <f t="shared" ca="1" si="86"/>
        <v>30</v>
      </c>
      <c r="F595" s="14">
        <v>22</v>
      </c>
      <c r="G595" s="14">
        <f t="shared" si="80"/>
        <v>8</v>
      </c>
      <c r="H595" s="15">
        <f t="shared" si="81"/>
        <v>2272.7272727272725</v>
      </c>
      <c r="I595" s="15">
        <f t="shared" si="82"/>
        <v>49999.999999999993</v>
      </c>
      <c r="J595" s="14">
        <f t="shared" si="83"/>
        <v>5999.9999999999991</v>
      </c>
      <c r="K595" s="15">
        <f t="shared" si="84"/>
        <v>374.99999999999994</v>
      </c>
      <c r="L595" s="15">
        <f t="shared" si="85"/>
        <v>43624.999999999993</v>
      </c>
      <c r="M595" s="14"/>
      <c r="N595" s="14"/>
    </row>
    <row r="596" ht="14.25">
      <c r="A596" s="14">
        <v>594</v>
      </c>
      <c r="B596" s="14" t="str">
        <f t="shared" si="79"/>
        <v>Empl_594</v>
      </c>
      <c r="C596" s="14" t="s">
        <v>8</v>
      </c>
      <c r="D596" s="14">
        <v>42000</v>
      </c>
      <c r="E596" s="14">
        <f t="shared" ca="1" si="86"/>
        <v>30</v>
      </c>
      <c r="F596" s="14">
        <v>30</v>
      </c>
      <c r="G596" s="14">
        <f t="shared" si="80"/>
        <v>0</v>
      </c>
      <c r="H596" s="15">
        <f t="shared" si="81"/>
        <v>1400</v>
      </c>
      <c r="I596" s="15">
        <f t="shared" si="82"/>
        <v>42000</v>
      </c>
      <c r="J596" s="14">
        <f t="shared" si="83"/>
        <v>5040</v>
      </c>
      <c r="K596" s="15">
        <f t="shared" si="84"/>
        <v>315</v>
      </c>
      <c r="L596" s="15">
        <f t="shared" si="85"/>
        <v>36645</v>
      </c>
      <c r="M596" s="14"/>
      <c r="N596" s="14"/>
    </row>
    <row r="597" ht="14.25">
      <c r="A597" s="14">
        <v>595</v>
      </c>
      <c r="B597" s="14" t="str">
        <f t="shared" si="79"/>
        <v>Empl_595</v>
      </c>
      <c r="C597" s="14" t="s">
        <v>12</v>
      </c>
      <c r="D597" s="14">
        <v>60000</v>
      </c>
      <c r="E597" s="14">
        <f t="shared" ca="1" si="86"/>
        <v>30</v>
      </c>
      <c r="F597" s="14">
        <v>22</v>
      </c>
      <c r="G597" s="14">
        <f t="shared" si="80"/>
        <v>8</v>
      </c>
      <c r="H597" s="15">
        <f t="shared" si="81"/>
        <v>2727.2727272727275</v>
      </c>
      <c r="I597" s="15">
        <f t="shared" si="82"/>
        <v>60000.000000000007</v>
      </c>
      <c r="J597" s="14">
        <f t="shared" si="83"/>
        <v>7200.0000000000009</v>
      </c>
      <c r="K597" s="15">
        <f t="shared" si="84"/>
        <v>450.00000000000006</v>
      </c>
      <c r="L597" s="15">
        <f t="shared" si="85"/>
        <v>52350.000000000007</v>
      </c>
      <c r="M597" s="14"/>
      <c r="N597" s="14"/>
    </row>
    <row r="598" ht="14.25">
      <c r="A598" s="14">
        <v>596</v>
      </c>
      <c r="B598" s="14" t="str">
        <f t="shared" si="79"/>
        <v>Empl_596</v>
      </c>
      <c r="C598" s="14" t="s">
        <v>10</v>
      </c>
      <c r="D598" s="14">
        <v>55000</v>
      </c>
      <c r="E598" s="14">
        <f t="shared" ca="1" si="86"/>
        <v>30</v>
      </c>
      <c r="F598" s="14">
        <v>27</v>
      </c>
      <c r="G598" s="14">
        <f t="shared" si="80"/>
        <v>3</v>
      </c>
      <c r="H598" s="15">
        <f t="shared" si="81"/>
        <v>2037.037037037037</v>
      </c>
      <c r="I598" s="15">
        <f t="shared" si="82"/>
        <v>55000</v>
      </c>
      <c r="J598" s="14">
        <f t="shared" si="83"/>
        <v>6600</v>
      </c>
      <c r="K598" s="15">
        <f t="shared" si="84"/>
        <v>412.5</v>
      </c>
      <c r="L598" s="15">
        <f t="shared" si="85"/>
        <v>47987.5</v>
      </c>
      <c r="M598" s="14"/>
      <c r="N598" s="14"/>
    </row>
    <row r="599" ht="14.25">
      <c r="A599" s="14">
        <v>597</v>
      </c>
      <c r="B599" s="14" t="str">
        <f t="shared" si="79"/>
        <v>Empl_597</v>
      </c>
      <c r="C599" s="14" t="s">
        <v>13</v>
      </c>
      <c r="D599" s="14">
        <v>30000</v>
      </c>
      <c r="E599" s="14">
        <f t="shared" ca="1" si="86"/>
        <v>30</v>
      </c>
      <c r="F599" s="14">
        <v>20</v>
      </c>
      <c r="G599" s="14">
        <f t="shared" si="80"/>
        <v>10</v>
      </c>
      <c r="H599" s="15">
        <f t="shared" si="81"/>
        <v>1500</v>
      </c>
      <c r="I599" s="15">
        <f t="shared" si="82"/>
        <v>30000</v>
      </c>
      <c r="J599" s="14">
        <f t="shared" si="83"/>
        <v>3600</v>
      </c>
      <c r="K599" s="15">
        <f t="shared" si="84"/>
        <v>225</v>
      </c>
      <c r="L599" s="15">
        <f t="shared" si="85"/>
        <v>26175</v>
      </c>
      <c r="M599" s="14"/>
      <c r="N599" s="14"/>
    </row>
    <row r="600" ht="14.25">
      <c r="A600" s="14">
        <v>598</v>
      </c>
      <c r="B600" s="14" t="str">
        <f t="shared" si="79"/>
        <v>Empl_598</v>
      </c>
      <c r="C600" s="14" t="s">
        <v>9</v>
      </c>
      <c r="D600" s="14">
        <v>51000</v>
      </c>
      <c r="E600" s="14">
        <f t="shared" ca="1" si="86"/>
        <v>30</v>
      </c>
      <c r="F600" s="14">
        <v>20</v>
      </c>
      <c r="G600" s="14">
        <f t="shared" si="80"/>
        <v>10</v>
      </c>
      <c r="H600" s="15">
        <f t="shared" si="81"/>
        <v>2550</v>
      </c>
      <c r="I600" s="15">
        <f t="shared" si="82"/>
        <v>51000</v>
      </c>
      <c r="J600" s="14">
        <f t="shared" si="83"/>
        <v>6120</v>
      </c>
      <c r="K600" s="15">
        <f t="shared" si="84"/>
        <v>382.5</v>
      </c>
      <c r="L600" s="15">
        <f t="shared" si="85"/>
        <v>44497.5</v>
      </c>
      <c r="M600" s="14"/>
      <c r="N600" s="14"/>
    </row>
    <row r="601" ht="14.25">
      <c r="A601" s="14">
        <v>599</v>
      </c>
      <c r="B601" s="14" t="str">
        <f t="shared" si="79"/>
        <v>Empl_599</v>
      </c>
      <c r="C601" s="14" t="s">
        <v>11</v>
      </c>
      <c r="D601" s="14">
        <v>42000</v>
      </c>
      <c r="E601" s="14">
        <f t="shared" ca="1" si="86"/>
        <v>30</v>
      </c>
      <c r="F601" s="14">
        <v>20</v>
      </c>
      <c r="G601" s="14">
        <f t="shared" si="80"/>
        <v>10</v>
      </c>
      <c r="H601" s="15">
        <f t="shared" si="81"/>
        <v>2100</v>
      </c>
      <c r="I601" s="15">
        <f t="shared" si="82"/>
        <v>42000</v>
      </c>
      <c r="J601" s="14">
        <f t="shared" si="83"/>
        <v>5040</v>
      </c>
      <c r="K601" s="15">
        <f t="shared" si="84"/>
        <v>315</v>
      </c>
      <c r="L601" s="15">
        <f t="shared" si="85"/>
        <v>36645</v>
      </c>
      <c r="M601" s="14"/>
      <c r="N601" s="14"/>
    </row>
    <row r="602" ht="14.25">
      <c r="A602" s="14">
        <v>600</v>
      </c>
      <c r="B602" s="14" t="str">
        <f t="shared" si="79"/>
        <v>Empl_600</v>
      </c>
      <c r="C602" s="14" t="s">
        <v>8</v>
      </c>
      <c r="D602" s="14">
        <v>40000</v>
      </c>
      <c r="E602" s="14">
        <f t="shared" ca="1" si="86"/>
        <v>30</v>
      </c>
      <c r="F602" s="14">
        <v>22</v>
      </c>
      <c r="G602" s="14">
        <f t="shared" si="80"/>
        <v>8</v>
      </c>
      <c r="H602" s="15">
        <f t="shared" si="81"/>
        <v>1818.1818181818182</v>
      </c>
      <c r="I602" s="15">
        <f t="shared" si="82"/>
        <v>40000</v>
      </c>
      <c r="J602" s="14">
        <f t="shared" si="83"/>
        <v>4800</v>
      </c>
      <c r="K602" s="15">
        <f t="shared" si="84"/>
        <v>300</v>
      </c>
      <c r="L602" s="15">
        <f t="shared" si="85"/>
        <v>34900</v>
      </c>
      <c r="M602" s="14"/>
      <c r="N602" s="14"/>
    </row>
    <row r="603" ht="14.25">
      <c r="A603" s="14">
        <v>601</v>
      </c>
      <c r="B603" s="14" t="str">
        <f t="shared" si="79"/>
        <v>Empl_601</v>
      </c>
      <c r="C603" s="14" t="s">
        <v>12</v>
      </c>
      <c r="D603" s="14">
        <v>24000</v>
      </c>
      <c r="E603" s="14">
        <f t="shared" ca="1" si="86"/>
        <v>30</v>
      </c>
      <c r="F603" s="14">
        <v>26</v>
      </c>
      <c r="G603" s="14">
        <f t="shared" si="80"/>
        <v>4</v>
      </c>
      <c r="H603" s="15">
        <f t="shared" si="81"/>
        <v>923.07692307692309</v>
      </c>
      <c r="I603" s="15">
        <f t="shared" si="82"/>
        <v>24000</v>
      </c>
      <c r="J603" s="14">
        <f t="shared" si="83"/>
        <v>2880</v>
      </c>
      <c r="K603" s="15">
        <f t="shared" si="84"/>
        <v>180</v>
      </c>
      <c r="L603" s="15">
        <f t="shared" si="85"/>
        <v>20940</v>
      </c>
      <c r="M603" s="14"/>
      <c r="N603" s="14"/>
    </row>
    <row r="604" ht="14.25">
      <c r="A604" s="14">
        <v>602</v>
      </c>
      <c r="B604" s="14" t="str">
        <f t="shared" si="79"/>
        <v>Empl_602</v>
      </c>
      <c r="C604" s="14" t="s">
        <v>10</v>
      </c>
      <c r="D604" s="14">
        <v>54000</v>
      </c>
      <c r="E604" s="14">
        <f t="shared" ca="1" si="86"/>
        <v>30</v>
      </c>
      <c r="F604" s="14">
        <v>24</v>
      </c>
      <c r="G604" s="14">
        <f t="shared" si="80"/>
        <v>6</v>
      </c>
      <c r="H604" s="15">
        <f t="shared" si="81"/>
        <v>2250</v>
      </c>
      <c r="I604" s="15">
        <f t="shared" si="82"/>
        <v>54000</v>
      </c>
      <c r="J604" s="14">
        <f t="shared" si="83"/>
        <v>6480</v>
      </c>
      <c r="K604" s="15">
        <f t="shared" si="84"/>
        <v>405</v>
      </c>
      <c r="L604" s="15">
        <f t="shared" si="85"/>
        <v>47115</v>
      </c>
      <c r="M604" s="14"/>
      <c r="N604" s="14"/>
    </row>
    <row r="605" ht="14.25">
      <c r="A605" s="14">
        <v>603</v>
      </c>
      <c r="B605" s="14" t="str">
        <f t="shared" si="79"/>
        <v>Empl_603</v>
      </c>
      <c r="C605" s="14" t="s">
        <v>13</v>
      </c>
      <c r="D605" s="14">
        <v>32000</v>
      </c>
      <c r="E605" s="14">
        <f t="shared" ca="1" si="86"/>
        <v>30</v>
      </c>
      <c r="F605" s="14">
        <v>22</v>
      </c>
      <c r="G605" s="14">
        <f t="shared" si="80"/>
        <v>8</v>
      </c>
      <c r="H605" s="15">
        <f t="shared" si="81"/>
        <v>1454.5454545454545</v>
      </c>
      <c r="I605" s="15">
        <f t="shared" si="82"/>
        <v>32000</v>
      </c>
      <c r="J605" s="14">
        <f t="shared" si="83"/>
        <v>3840</v>
      </c>
      <c r="K605" s="15">
        <f t="shared" si="84"/>
        <v>240</v>
      </c>
      <c r="L605" s="15">
        <f t="shared" si="85"/>
        <v>27920</v>
      </c>
      <c r="M605" s="14"/>
      <c r="N605" s="14"/>
    </row>
    <row r="606" ht="14.25">
      <c r="A606" s="14">
        <v>604</v>
      </c>
      <c r="B606" s="14" t="str">
        <f t="shared" si="79"/>
        <v>Empl_604</v>
      </c>
      <c r="C606" s="14" t="s">
        <v>9</v>
      </c>
      <c r="D606" s="14">
        <v>38000</v>
      </c>
      <c r="E606" s="14">
        <f t="shared" ca="1" si="86"/>
        <v>30</v>
      </c>
      <c r="F606" s="14">
        <v>21</v>
      </c>
      <c r="G606" s="14">
        <f t="shared" si="80"/>
        <v>9</v>
      </c>
      <c r="H606" s="15">
        <f t="shared" si="81"/>
        <v>1809.5238095238096</v>
      </c>
      <c r="I606" s="15">
        <f t="shared" si="82"/>
        <v>38000</v>
      </c>
      <c r="J606" s="14">
        <f t="shared" si="83"/>
        <v>4560</v>
      </c>
      <c r="K606" s="15">
        <f t="shared" si="84"/>
        <v>285</v>
      </c>
      <c r="L606" s="15">
        <f t="shared" si="85"/>
        <v>33155</v>
      </c>
      <c r="M606" s="14"/>
      <c r="N606" s="14"/>
    </row>
    <row r="607" ht="14.25">
      <c r="A607" s="14">
        <v>605</v>
      </c>
      <c r="B607" s="14" t="str">
        <f t="shared" si="79"/>
        <v>Empl_605</v>
      </c>
      <c r="C607" s="14" t="s">
        <v>11</v>
      </c>
      <c r="D607" s="14">
        <v>60000</v>
      </c>
      <c r="E607" s="14">
        <f t="shared" ca="1" si="86"/>
        <v>30</v>
      </c>
      <c r="F607" s="14">
        <v>29</v>
      </c>
      <c r="G607" s="14">
        <f t="shared" si="80"/>
        <v>1</v>
      </c>
      <c r="H607" s="15">
        <f t="shared" si="81"/>
        <v>2068.9655172413795</v>
      </c>
      <c r="I607" s="15">
        <f t="shared" si="82"/>
        <v>60000.000000000007</v>
      </c>
      <c r="J607" s="14">
        <f t="shared" si="83"/>
        <v>7200.0000000000009</v>
      </c>
      <c r="K607" s="15">
        <f t="shared" si="84"/>
        <v>450.00000000000006</v>
      </c>
      <c r="L607" s="15">
        <f t="shared" si="85"/>
        <v>52350.000000000007</v>
      </c>
      <c r="M607" s="14"/>
      <c r="N607" s="14"/>
    </row>
    <row r="608" ht="14.25">
      <c r="A608" s="14">
        <v>606</v>
      </c>
      <c r="B608" s="14" t="str">
        <f t="shared" si="79"/>
        <v>Empl_606</v>
      </c>
      <c r="C608" s="14" t="s">
        <v>8</v>
      </c>
      <c r="D608" s="14">
        <v>59000</v>
      </c>
      <c r="E608" s="14">
        <f t="shared" ca="1" si="86"/>
        <v>30</v>
      </c>
      <c r="F608" s="14">
        <v>28</v>
      </c>
      <c r="G608" s="14">
        <f t="shared" si="80"/>
        <v>2</v>
      </c>
      <c r="H608" s="15">
        <f t="shared" si="81"/>
        <v>2107.1428571428573</v>
      </c>
      <c r="I608" s="15">
        <f t="shared" si="82"/>
        <v>59000.000000000007</v>
      </c>
      <c r="J608" s="14">
        <f t="shared" si="83"/>
        <v>7080.0000000000009</v>
      </c>
      <c r="K608" s="15">
        <f t="shared" si="84"/>
        <v>442.50000000000006</v>
      </c>
      <c r="L608" s="15">
        <f t="shared" si="85"/>
        <v>51477.500000000007</v>
      </c>
      <c r="M608" s="14"/>
      <c r="N608" s="14"/>
    </row>
    <row r="609" ht="14.25">
      <c r="A609" s="14">
        <v>607</v>
      </c>
      <c r="B609" s="14" t="str">
        <f t="shared" si="79"/>
        <v>Empl_607</v>
      </c>
      <c r="C609" s="14" t="s">
        <v>12</v>
      </c>
      <c r="D609" s="14">
        <v>23000</v>
      </c>
      <c r="E609" s="14">
        <f t="shared" ca="1" si="86"/>
        <v>30</v>
      </c>
      <c r="F609" s="14">
        <v>20</v>
      </c>
      <c r="G609" s="14">
        <f t="shared" si="80"/>
        <v>10</v>
      </c>
      <c r="H609" s="15">
        <f t="shared" si="81"/>
        <v>1150</v>
      </c>
      <c r="I609" s="15">
        <f t="shared" si="82"/>
        <v>23000</v>
      </c>
      <c r="J609" s="14">
        <f t="shared" si="83"/>
        <v>2760</v>
      </c>
      <c r="K609" s="15">
        <f t="shared" si="84"/>
        <v>172.5</v>
      </c>
      <c r="L609" s="15">
        <f t="shared" si="85"/>
        <v>20067.5</v>
      </c>
      <c r="M609" s="14"/>
      <c r="N609" s="14"/>
    </row>
    <row r="610" ht="14.25">
      <c r="A610" s="14">
        <v>608</v>
      </c>
      <c r="B610" s="14" t="str">
        <f t="shared" si="79"/>
        <v>Empl_608</v>
      </c>
      <c r="C610" s="14" t="s">
        <v>10</v>
      </c>
      <c r="D610" s="14">
        <v>27000</v>
      </c>
      <c r="E610" s="14">
        <f t="shared" ca="1" si="86"/>
        <v>30</v>
      </c>
      <c r="F610" s="14">
        <v>30</v>
      </c>
      <c r="G610" s="14">
        <f t="shared" si="80"/>
        <v>0</v>
      </c>
      <c r="H610" s="15">
        <f t="shared" si="81"/>
        <v>900</v>
      </c>
      <c r="I610" s="15">
        <f t="shared" si="82"/>
        <v>27000</v>
      </c>
      <c r="J610" s="14">
        <f t="shared" si="83"/>
        <v>3240</v>
      </c>
      <c r="K610" s="15">
        <f t="shared" si="84"/>
        <v>202.5</v>
      </c>
      <c r="L610" s="15">
        <f t="shared" si="85"/>
        <v>23557.5</v>
      </c>
      <c r="M610" s="14"/>
      <c r="N610" s="14"/>
    </row>
    <row r="611" ht="14.25">
      <c r="A611" s="14">
        <v>609</v>
      </c>
      <c r="B611" s="14" t="str">
        <f t="shared" si="79"/>
        <v>Empl_609</v>
      </c>
      <c r="C611" s="14" t="s">
        <v>13</v>
      </c>
      <c r="D611" s="14">
        <v>19000</v>
      </c>
      <c r="E611" s="14">
        <f t="shared" ca="1" si="86"/>
        <v>30</v>
      </c>
      <c r="F611" s="14">
        <v>27</v>
      </c>
      <c r="G611" s="14">
        <f t="shared" si="80"/>
        <v>3</v>
      </c>
      <c r="H611" s="15">
        <f t="shared" si="81"/>
        <v>703.7037037037037</v>
      </c>
      <c r="I611" s="15">
        <f t="shared" si="82"/>
        <v>19000</v>
      </c>
      <c r="J611" s="14">
        <f t="shared" si="83"/>
        <v>2280</v>
      </c>
      <c r="K611" s="15">
        <f t="shared" si="84"/>
        <v>142.5</v>
      </c>
      <c r="L611" s="15">
        <f t="shared" si="85"/>
        <v>16577.5</v>
      </c>
      <c r="M611" s="14"/>
      <c r="N611" s="14"/>
    </row>
    <row r="612" ht="14.25">
      <c r="A612" s="14">
        <v>610</v>
      </c>
      <c r="B612" s="14" t="str">
        <f t="shared" ref="B612:B675" si="87">"Empl_"&amp;A612</f>
        <v>Empl_610</v>
      </c>
      <c r="C612" s="14" t="s">
        <v>9</v>
      </c>
      <c r="D612" s="14">
        <v>20000</v>
      </c>
      <c r="E612" s="14">
        <f t="shared" ca="1" si="86"/>
        <v>30</v>
      </c>
      <c r="F612" s="14">
        <v>29</v>
      </c>
      <c r="G612" s="14">
        <f t="shared" ref="G612:G675" si="88">E612-F612</f>
        <v>1</v>
      </c>
      <c r="H612" s="15">
        <f t="shared" ref="H612:H675" si="89">D612/F612</f>
        <v>689.65517241379314</v>
      </c>
      <c r="I612" s="15">
        <f t="shared" ref="I612:I675" si="90">H612*F612</f>
        <v>20000</v>
      </c>
      <c r="J612" s="14">
        <f t="shared" ref="J612:J675" si="91">I612*12%</f>
        <v>2400</v>
      </c>
      <c r="K612" s="15">
        <f t="shared" ref="K612:K675" si="92">I612*0.75%</f>
        <v>150</v>
      </c>
      <c r="L612" s="15">
        <f t="shared" ref="L612:L675" si="93">I612-(J612+K612)</f>
        <v>17450</v>
      </c>
      <c r="M612" s="14"/>
      <c r="N612" s="14"/>
    </row>
    <row r="613" ht="14.25">
      <c r="A613" s="14">
        <v>611</v>
      </c>
      <c r="B613" s="14" t="str">
        <f t="shared" si="87"/>
        <v>Empl_611</v>
      </c>
      <c r="C613" s="14" t="s">
        <v>11</v>
      </c>
      <c r="D613" s="14">
        <v>18000</v>
      </c>
      <c r="E613" s="14">
        <f t="shared" ca="1" si="86"/>
        <v>30</v>
      </c>
      <c r="F613" s="14">
        <v>28</v>
      </c>
      <c r="G613" s="14">
        <f t="shared" si="88"/>
        <v>2</v>
      </c>
      <c r="H613" s="15">
        <f t="shared" si="89"/>
        <v>642.85714285714289</v>
      </c>
      <c r="I613" s="15">
        <f t="shared" si="90"/>
        <v>18000</v>
      </c>
      <c r="J613" s="14">
        <f t="shared" si="91"/>
        <v>2160</v>
      </c>
      <c r="K613" s="15">
        <f t="shared" si="92"/>
        <v>135</v>
      </c>
      <c r="L613" s="15">
        <f t="shared" si="93"/>
        <v>15705</v>
      </c>
      <c r="M613" s="14"/>
      <c r="N613" s="14"/>
    </row>
    <row r="614" ht="14.25">
      <c r="A614" s="14">
        <v>612</v>
      </c>
      <c r="B614" s="14" t="str">
        <f t="shared" si="87"/>
        <v>Empl_612</v>
      </c>
      <c r="C614" s="14" t="s">
        <v>8</v>
      </c>
      <c r="D614" s="14">
        <v>32000</v>
      </c>
      <c r="E614" s="14">
        <f t="shared" ca="1" si="86"/>
        <v>30</v>
      </c>
      <c r="F614" s="14">
        <v>27</v>
      </c>
      <c r="G614" s="14">
        <f t="shared" si="88"/>
        <v>3</v>
      </c>
      <c r="H614" s="15">
        <f t="shared" si="89"/>
        <v>1185.1851851851852</v>
      </c>
      <c r="I614" s="15">
        <f t="shared" si="90"/>
        <v>32000</v>
      </c>
      <c r="J614" s="14">
        <f t="shared" si="91"/>
        <v>3840</v>
      </c>
      <c r="K614" s="15">
        <f t="shared" si="92"/>
        <v>240</v>
      </c>
      <c r="L614" s="15">
        <f t="shared" si="93"/>
        <v>27920</v>
      </c>
      <c r="M614" s="14"/>
      <c r="N614" s="14"/>
    </row>
    <row r="615" ht="14.25">
      <c r="A615" s="14">
        <v>613</v>
      </c>
      <c r="B615" s="14" t="str">
        <f t="shared" si="87"/>
        <v>Empl_613</v>
      </c>
      <c r="C615" s="14" t="s">
        <v>12</v>
      </c>
      <c r="D615" s="14">
        <v>29000</v>
      </c>
      <c r="E615" s="14">
        <f t="shared" ca="1" si="86"/>
        <v>30</v>
      </c>
      <c r="F615" s="14">
        <v>28</v>
      </c>
      <c r="G615" s="14">
        <f t="shared" si="88"/>
        <v>2</v>
      </c>
      <c r="H615" s="15">
        <f t="shared" si="89"/>
        <v>1035.7142857142858</v>
      </c>
      <c r="I615" s="15">
        <f t="shared" si="90"/>
        <v>29000</v>
      </c>
      <c r="J615" s="14">
        <f t="shared" si="91"/>
        <v>3480</v>
      </c>
      <c r="K615" s="15">
        <f t="shared" si="92"/>
        <v>217.5</v>
      </c>
      <c r="L615" s="15">
        <f t="shared" si="93"/>
        <v>25302.5</v>
      </c>
      <c r="M615" s="14"/>
      <c r="N615" s="14"/>
    </row>
    <row r="616" ht="14.25">
      <c r="A616" s="14">
        <v>614</v>
      </c>
      <c r="B616" s="14" t="str">
        <f t="shared" si="87"/>
        <v>Empl_614</v>
      </c>
      <c r="C616" s="14" t="s">
        <v>10</v>
      </c>
      <c r="D616" s="14">
        <v>52000</v>
      </c>
      <c r="E616" s="14">
        <f t="shared" ca="1" si="86"/>
        <v>30</v>
      </c>
      <c r="F616" s="14">
        <v>26</v>
      </c>
      <c r="G616" s="14">
        <f t="shared" si="88"/>
        <v>4</v>
      </c>
      <c r="H616" s="15">
        <f t="shared" si="89"/>
        <v>2000</v>
      </c>
      <c r="I616" s="15">
        <f t="shared" si="90"/>
        <v>52000</v>
      </c>
      <c r="J616" s="14">
        <f t="shared" si="91"/>
        <v>6240</v>
      </c>
      <c r="K616" s="15">
        <f t="shared" si="92"/>
        <v>390</v>
      </c>
      <c r="L616" s="15">
        <f t="shared" si="93"/>
        <v>45370</v>
      </c>
      <c r="M616" s="14"/>
      <c r="N616" s="14"/>
    </row>
    <row r="617" ht="14.25">
      <c r="A617" s="14">
        <v>615</v>
      </c>
      <c r="B617" s="14" t="str">
        <f t="shared" si="87"/>
        <v>Empl_615</v>
      </c>
      <c r="C617" s="14" t="s">
        <v>13</v>
      </c>
      <c r="D617" s="14">
        <v>33000</v>
      </c>
      <c r="E617" s="14">
        <f t="shared" ca="1" si="86"/>
        <v>30</v>
      </c>
      <c r="F617" s="14">
        <v>25</v>
      </c>
      <c r="G617" s="14">
        <f t="shared" si="88"/>
        <v>5</v>
      </c>
      <c r="H617" s="15">
        <f t="shared" si="89"/>
        <v>1320</v>
      </c>
      <c r="I617" s="15">
        <f t="shared" si="90"/>
        <v>33000</v>
      </c>
      <c r="J617" s="14">
        <f t="shared" si="91"/>
        <v>3960</v>
      </c>
      <c r="K617" s="15">
        <f t="shared" si="92"/>
        <v>247.5</v>
      </c>
      <c r="L617" s="15">
        <f t="shared" si="93"/>
        <v>28792.5</v>
      </c>
      <c r="M617" s="14"/>
      <c r="N617" s="14"/>
    </row>
    <row r="618" ht="14.25">
      <c r="A618" s="14">
        <v>616</v>
      </c>
      <c r="B618" s="14" t="str">
        <f t="shared" si="87"/>
        <v>Empl_616</v>
      </c>
      <c r="C618" s="14" t="s">
        <v>9</v>
      </c>
      <c r="D618" s="14">
        <v>22000</v>
      </c>
      <c r="E618" s="14">
        <f t="shared" ca="1" si="86"/>
        <v>30</v>
      </c>
      <c r="F618" s="14">
        <v>24</v>
      </c>
      <c r="G618" s="14">
        <f t="shared" si="88"/>
        <v>6</v>
      </c>
      <c r="H618" s="15">
        <f t="shared" si="89"/>
        <v>916.66666666666663</v>
      </c>
      <c r="I618" s="15">
        <f t="shared" si="90"/>
        <v>22000</v>
      </c>
      <c r="J618" s="14">
        <f t="shared" si="91"/>
        <v>2640</v>
      </c>
      <c r="K618" s="15">
        <f t="shared" si="92"/>
        <v>165</v>
      </c>
      <c r="L618" s="15">
        <f t="shared" si="93"/>
        <v>19195</v>
      </c>
      <c r="M618" s="14"/>
      <c r="N618" s="14"/>
    </row>
    <row r="619" ht="14.25">
      <c r="A619" s="14">
        <v>617</v>
      </c>
      <c r="B619" s="14" t="str">
        <f t="shared" si="87"/>
        <v>Empl_617</v>
      </c>
      <c r="C619" s="14" t="s">
        <v>11</v>
      </c>
      <c r="D619" s="14">
        <v>56000</v>
      </c>
      <c r="E619" s="14">
        <f t="shared" ca="1" si="86"/>
        <v>30</v>
      </c>
      <c r="F619" s="14">
        <v>23</v>
      </c>
      <c r="G619" s="14">
        <f t="shared" si="88"/>
        <v>7</v>
      </c>
      <c r="H619" s="15">
        <f t="shared" si="89"/>
        <v>2434.782608695652</v>
      </c>
      <c r="I619" s="15">
        <f t="shared" si="90"/>
        <v>56000</v>
      </c>
      <c r="J619" s="14">
        <f t="shared" si="91"/>
        <v>6720</v>
      </c>
      <c r="K619" s="15">
        <f t="shared" si="92"/>
        <v>420</v>
      </c>
      <c r="L619" s="15">
        <f t="shared" si="93"/>
        <v>48860</v>
      </c>
      <c r="M619" s="14"/>
      <c r="N619" s="14"/>
    </row>
    <row r="620" ht="14.25">
      <c r="A620" s="14">
        <v>618</v>
      </c>
      <c r="B620" s="14" t="str">
        <f t="shared" si="87"/>
        <v>Empl_618</v>
      </c>
      <c r="C620" s="14" t="s">
        <v>8</v>
      </c>
      <c r="D620" s="14">
        <v>20000</v>
      </c>
      <c r="E620" s="14">
        <f t="shared" ca="1" si="86"/>
        <v>30</v>
      </c>
      <c r="F620" s="14">
        <v>20</v>
      </c>
      <c r="G620" s="14">
        <f t="shared" si="88"/>
        <v>10</v>
      </c>
      <c r="H620" s="15">
        <f t="shared" si="89"/>
        <v>1000</v>
      </c>
      <c r="I620" s="15">
        <f t="shared" si="90"/>
        <v>20000</v>
      </c>
      <c r="J620" s="14">
        <f t="shared" si="91"/>
        <v>2400</v>
      </c>
      <c r="K620" s="15">
        <f t="shared" si="92"/>
        <v>150</v>
      </c>
      <c r="L620" s="15">
        <f t="shared" si="93"/>
        <v>17450</v>
      </c>
      <c r="M620" s="14"/>
      <c r="N620" s="14"/>
    </row>
    <row r="621" ht="14.25">
      <c r="A621" s="14">
        <v>619</v>
      </c>
      <c r="B621" s="14" t="str">
        <f t="shared" si="87"/>
        <v>Empl_619</v>
      </c>
      <c r="C621" s="14" t="s">
        <v>12</v>
      </c>
      <c r="D621" s="14">
        <v>41000</v>
      </c>
      <c r="E621" s="14">
        <f t="shared" ca="1" si="86"/>
        <v>30</v>
      </c>
      <c r="F621" s="14">
        <v>28</v>
      </c>
      <c r="G621" s="14">
        <f t="shared" si="88"/>
        <v>2</v>
      </c>
      <c r="H621" s="15">
        <f t="shared" si="89"/>
        <v>1464.2857142857142</v>
      </c>
      <c r="I621" s="15">
        <f t="shared" si="90"/>
        <v>41000</v>
      </c>
      <c r="J621" s="14">
        <f t="shared" si="91"/>
        <v>4920</v>
      </c>
      <c r="K621" s="15">
        <f t="shared" si="92"/>
        <v>307.5</v>
      </c>
      <c r="L621" s="15">
        <f t="shared" si="93"/>
        <v>35772.5</v>
      </c>
      <c r="M621" s="14"/>
      <c r="N621" s="14"/>
    </row>
    <row r="622" ht="14.25">
      <c r="A622" s="14">
        <v>620</v>
      </c>
      <c r="B622" s="14" t="str">
        <f t="shared" si="87"/>
        <v>Empl_620</v>
      </c>
      <c r="C622" s="14" t="s">
        <v>10</v>
      </c>
      <c r="D622" s="14">
        <v>54000</v>
      </c>
      <c r="E622" s="14">
        <f t="shared" ca="1" si="86"/>
        <v>30</v>
      </c>
      <c r="F622" s="14">
        <v>26</v>
      </c>
      <c r="G622" s="14">
        <f t="shared" si="88"/>
        <v>4</v>
      </c>
      <c r="H622" s="15">
        <f t="shared" si="89"/>
        <v>2076.9230769230771</v>
      </c>
      <c r="I622" s="15">
        <f t="shared" si="90"/>
        <v>54000.000000000007</v>
      </c>
      <c r="J622" s="14">
        <f t="shared" si="91"/>
        <v>6480.0000000000009</v>
      </c>
      <c r="K622" s="15">
        <f t="shared" si="92"/>
        <v>405.00000000000006</v>
      </c>
      <c r="L622" s="15">
        <f t="shared" si="93"/>
        <v>47115.000000000007</v>
      </c>
      <c r="M622" s="14"/>
      <c r="N622" s="14"/>
    </row>
    <row r="623" ht="14.25">
      <c r="A623" s="14">
        <v>621</v>
      </c>
      <c r="B623" s="14" t="str">
        <f t="shared" si="87"/>
        <v>Empl_621</v>
      </c>
      <c r="C623" s="14" t="s">
        <v>13</v>
      </c>
      <c r="D623" s="14">
        <v>43000</v>
      </c>
      <c r="E623" s="14">
        <f t="shared" ca="1" si="86"/>
        <v>30</v>
      </c>
      <c r="F623" s="14">
        <v>26</v>
      </c>
      <c r="G623" s="14">
        <f t="shared" si="88"/>
        <v>4</v>
      </c>
      <c r="H623" s="15">
        <f t="shared" si="89"/>
        <v>1653.8461538461538</v>
      </c>
      <c r="I623" s="15">
        <f t="shared" si="90"/>
        <v>43000</v>
      </c>
      <c r="J623" s="14">
        <f t="shared" si="91"/>
        <v>5160</v>
      </c>
      <c r="K623" s="15">
        <f t="shared" si="92"/>
        <v>322.5</v>
      </c>
      <c r="L623" s="15">
        <f t="shared" si="93"/>
        <v>37517.5</v>
      </c>
      <c r="M623" s="14"/>
      <c r="N623" s="14"/>
    </row>
    <row r="624" ht="14.25">
      <c r="A624" s="14">
        <v>622</v>
      </c>
      <c r="B624" s="14" t="str">
        <f t="shared" si="87"/>
        <v>Empl_622</v>
      </c>
      <c r="C624" s="14" t="s">
        <v>9</v>
      </c>
      <c r="D624" s="14">
        <v>30000</v>
      </c>
      <c r="E624" s="14">
        <f t="shared" ca="1" si="86"/>
        <v>30</v>
      </c>
      <c r="F624" s="14">
        <v>20</v>
      </c>
      <c r="G624" s="14">
        <f t="shared" si="88"/>
        <v>10</v>
      </c>
      <c r="H624" s="15">
        <f t="shared" si="89"/>
        <v>1500</v>
      </c>
      <c r="I624" s="15">
        <f t="shared" si="90"/>
        <v>30000</v>
      </c>
      <c r="J624" s="14">
        <f t="shared" si="91"/>
        <v>3600</v>
      </c>
      <c r="K624" s="15">
        <f t="shared" si="92"/>
        <v>225</v>
      </c>
      <c r="L624" s="15">
        <f t="shared" si="93"/>
        <v>26175</v>
      </c>
      <c r="M624" s="14"/>
      <c r="N624" s="14"/>
    </row>
    <row r="625" ht="14.25">
      <c r="A625" s="14">
        <v>623</v>
      </c>
      <c r="B625" s="14" t="str">
        <f t="shared" si="87"/>
        <v>Empl_623</v>
      </c>
      <c r="C625" s="14" t="s">
        <v>11</v>
      </c>
      <c r="D625" s="14">
        <v>56000</v>
      </c>
      <c r="E625" s="14">
        <f t="shared" ca="1" si="86"/>
        <v>30</v>
      </c>
      <c r="F625" s="14">
        <v>22</v>
      </c>
      <c r="G625" s="14">
        <f t="shared" si="88"/>
        <v>8</v>
      </c>
      <c r="H625" s="15">
        <f t="shared" si="89"/>
        <v>2545.4545454545455</v>
      </c>
      <c r="I625" s="15">
        <f t="shared" si="90"/>
        <v>56000</v>
      </c>
      <c r="J625" s="14">
        <f t="shared" si="91"/>
        <v>6720</v>
      </c>
      <c r="K625" s="15">
        <f t="shared" si="92"/>
        <v>420</v>
      </c>
      <c r="L625" s="15">
        <f t="shared" si="93"/>
        <v>48860</v>
      </c>
      <c r="M625" s="14"/>
      <c r="N625" s="14"/>
    </row>
    <row r="626" ht="14.25">
      <c r="A626" s="14">
        <v>624</v>
      </c>
      <c r="B626" s="14" t="str">
        <f t="shared" si="87"/>
        <v>Empl_624</v>
      </c>
      <c r="C626" s="14" t="s">
        <v>8</v>
      </c>
      <c r="D626" s="14">
        <v>24000</v>
      </c>
      <c r="E626" s="14">
        <f t="shared" ca="1" si="86"/>
        <v>30</v>
      </c>
      <c r="F626" s="14">
        <v>30</v>
      </c>
      <c r="G626" s="14">
        <f t="shared" si="88"/>
        <v>0</v>
      </c>
      <c r="H626" s="15">
        <f t="shared" si="89"/>
        <v>800</v>
      </c>
      <c r="I626" s="15">
        <f t="shared" si="90"/>
        <v>24000</v>
      </c>
      <c r="J626" s="14">
        <f t="shared" si="91"/>
        <v>2880</v>
      </c>
      <c r="K626" s="15">
        <f t="shared" si="92"/>
        <v>180</v>
      </c>
      <c r="L626" s="15">
        <f t="shared" si="93"/>
        <v>20940</v>
      </c>
      <c r="M626" s="14"/>
      <c r="N626" s="14"/>
    </row>
    <row r="627" ht="14.25">
      <c r="A627" s="14">
        <v>625</v>
      </c>
      <c r="B627" s="14" t="str">
        <f t="shared" si="87"/>
        <v>Empl_625</v>
      </c>
      <c r="C627" s="14" t="s">
        <v>12</v>
      </c>
      <c r="D627" s="14">
        <v>30000</v>
      </c>
      <c r="E627" s="14">
        <f t="shared" ca="1" si="86"/>
        <v>30</v>
      </c>
      <c r="F627" s="14">
        <v>23</v>
      </c>
      <c r="G627" s="14">
        <f t="shared" si="88"/>
        <v>7</v>
      </c>
      <c r="H627" s="15">
        <f t="shared" si="89"/>
        <v>1304.3478260869565</v>
      </c>
      <c r="I627" s="15">
        <f t="shared" si="90"/>
        <v>30000</v>
      </c>
      <c r="J627" s="14">
        <f t="shared" si="91"/>
        <v>3600</v>
      </c>
      <c r="K627" s="15">
        <f t="shared" si="92"/>
        <v>225</v>
      </c>
      <c r="L627" s="15">
        <f t="shared" si="93"/>
        <v>26175</v>
      </c>
      <c r="M627" s="14"/>
      <c r="N627" s="14"/>
    </row>
    <row r="628" ht="14.25">
      <c r="A628" s="14">
        <v>626</v>
      </c>
      <c r="B628" s="14" t="str">
        <f t="shared" si="87"/>
        <v>Empl_626</v>
      </c>
      <c r="C628" s="14" t="s">
        <v>10</v>
      </c>
      <c r="D628" s="14">
        <v>15000</v>
      </c>
      <c r="E628" s="14">
        <f t="shared" ca="1" si="86"/>
        <v>30</v>
      </c>
      <c r="F628" s="14">
        <v>27</v>
      </c>
      <c r="G628" s="14">
        <f t="shared" si="88"/>
        <v>3</v>
      </c>
      <c r="H628" s="15">
        <f t="shared" si="89"/>
        <v>555.55555555555554</v>
      </c>
      <c r="I628" s="15">
        <f t="shared" si="90"/>
        <v>15000</v>
      </c>
      <c r="J628" s="14">
        <f t="shared" si="91"/>
        <v>1800</v>
      </c>
      <c r="K628" s="15">
        <f t="shared" si="92"/>
        <v>112.5</v>
      </c>
      <c r="L628" s="15">
        <f t="shared" si="93"/>
        <v>13087.5</v>
      </c>
      <c r="M628" s="14"/>
      <c r="N628" s="14"/>
    </row>
    <row r="629" ht="14.25">
      <c r="A629" s="14">
        <v>627</v>
      </c>
      <c r="B629" s="14" t="str">
        <f t="shared" si="87"/>
        <v>Empl_627</v>
      </c>
      <c r="C629" s="14" t="s">
        <v>13</v>
      </c>
      <c r="D629" s="14">
        <v>33000</v>
      </c>
      <c r="E629" s="14">
        <f t="shared" ca="1" si="86"/>
        <v>30</v>
      </c>
      <c r="F629" s="14">
        <v>22</v>
      </c>
      <c r="G629" s="14">
        <f t="shared" si="88"/>
        <v>8</v>
      </c>
      <c r="H629" s="15">
        <f t="shared" si="89"/>
        <v>1500</v>
      </c>
      <c r="I629" s="15">
        <f t="shared" si="90"/>
        <v>33000</v>
      </c>
      <c r="J629" s="14">
        <f t="shared" si="91"/>
        <v>3960</v>
      </c>
      <c r="K629" s="15">
        <f t="shared" si="92"/>
        <v>247.5</v>
      </c>
      <c r="L629" s="15">
        <f t="shared" si="93"/>
        <v>28792.5</v>
      </c>
      <c r="M629" s="14"/>
      <c r="N629" s="14"/>
    </row>
    <row r="630" ht="14.25">
      <c r="A630" s="14">
        <v>628</v>
      </c>
      <c r="B630" s="14" t="str">
        <f t="shared" si="87"/>
        <v>Empl_628</v>
      </c>
      <c r="C630" s="14" t="s">
        <v>9</v>
      </c>
      <c r="D630" s="14">
        <v>54000</v>
      </c>
      <c r="E630" s="14">
        <f t="shared" ca="1" si="86"/>
        <v>30</v>
      </c>
      <c r="F630" s="14">
        <v>30</v>
      </c>
      <c r="G630" s="14">
        <f t="shared" si="88"/>
        <v>0</v>
      </c>
      <c r="H630" s="15">
        <f t="shared" si="89"/>
        <v>1800</v>
      </c>
      <c r="I630" s="15">
        <f t="shared" si="90"/>
        <v>54000</v>
      </c>
      <c r="J630" s="14">
        <f t="shared" si="91"/>
        <v>6480</v>
      </c>
      <c r="K630" s="15">
        <f t="shared" si="92"/>
        <v>405</v>
      </c>
      <c r="L630" s="15">
        <f t="shared" si="93"/>
        <v>47115</v>
      </c>
      <c r="M630" s="14"/>
      <c r="N630" s="14"/>
    </row>
    <row r="631" ht="14.25">
      <c r="A631" s="14">
        <v>629</v>
      </c>
      <c r="B631" s="14" t="str">
        <f t="shared" si="87"/>
        <v>Empl_629</v>
      </c>
      <c r="C631" s="14" t="s">
        <v>11</v>
      </c>
      <c r="D631" s="14">
        <v>28000</v>
      </c>
      <c r="E631" s="14">
        <f t="shared" ca="1" si="86"/>
        <v>30</v>
      </c>
      <c r="F631" s="14">
        <v>29</v>
      </c>
      <c r="G631" s="14">
        <f t="shared" si="88"/>
        <v>1</v>
      </c>
      <c r="H631" s="15">
        <f t="shared" si="89"/>
        <v>965.51724137931035</v>
      </c>
      <c r="I631" s="15">
        <f t="shared" si="90"/>
        <v>28000</v>
      </c>
      <c r="J631" s="14">
        <f t="shared" si="91"/>
        <v>3360</v>
      </c>
      <c r="K631" s="15">
        <f t="shared" si="92"/>
        <v>210</v>
      </c>
      <c r="L631" s="15">
        <f t="shared" si="93"/>
        <v>24430</v>
      </c>
      <c r="M631" s="14"/>
      <c r="N631" s="14"/>
    </row>
    <row r="632" ht="14.25">
      <c r="A632" s="14">
        <v>630</v>
      </c>
      <c r="B632" s="14" t="str">
        <f t="shared" si="87"/>
        <v>Empl_630</v>
      </c>
      <c r="C632" s="14" t="s">
        <v>8</v>
      </c>
      <c r="D632" s="14">
        <v>56000</v>
      </c>
      <c r="E632" s="14">
        <f t="shared" ca="1" si="86"/>
        <v>30</v>
      </c>
      <c r="F632" s="14">
        <v>21</v>
      </c>
      <c r="G632" s="14">
        <f t="shared" si="88"/>
        <v>9</v>
      </c>
      <c r="H632" s="15">
        <f t="shared" si="89"/>
        <v>2666.6666666666665</v>
      </c>
      <c r="I632" s="15">
        <f t="shared" si="90"/>
        <v>56000</v>
      </c>
      <c r="J632" s="14">
        <f t="shared" si="91"/>
        <v>6720</v>
      </c>
      <c r="K632" s="15">
        <f t="shared" si="92"/>
        <v>420</v>
      </c>
      <c r="L632" s="15">
        <f t="shared" si="93"/>
        <v>48860</v>
      </c>
      <c r="M632" s="14"/>
      <c r="N632" s="14"/>
    </row>
    <row r="633" ht="14.25">
      <c r="A633" s="14">
        <v>631</v>
      </c>
      <c r="B633" s="14" t="str">
        <f t="shared" si="87"/>
        <v>Empl_631</v>
      </c>
      <c r="C633" s="14" t="s">
        <v>12</v>
      </c>
      <c r="D633" s="14">
        <v>52000</v>
      </c>
      <c r="E633" s="14">
        <f t="shared" ca="1" si="86"/>
        <v>30</v>
      </c>
      <c r="F633" s="14">
        <v>20</v>
      </c>
      <c r="G633" s="14">
        <f t="shared" si="88"/>
        <v>10</v>
      </c>
      <c r="H633" s="15">
        <f t="shared" si="89"/>
        <v>2600</v>
      </c>
      <c r="I633" s="15">
        <f t="shared" si="90"/>
        <v>52000</v>
      </c>
      <c r="J633" s="14">
        <f t="shared" si="91"/>
        <v>6240</v>
      </c>
      <c r="K633" s="15">
        <f t="shared" si="92"/>
        <v>390</v>
      </c>
      <c r="L633" s="15">
        <f t="shared" si="93"/>
        <v>45370</v>
      </c>
      <c r="M633" s="14"/>
      <c r="N633" s="14"/>
    </row>
    <row r="634" ht="14.25">
      <c r="A634" s="14">
        <v>632</v>
      </c>
      <c r="B634" s="14" t="str">
        <f t="shared" si="87"/>
        <v>Empl_632</v>
      </c>
      <c r="C634" s="14" t="s">
        <v>10</v>
      </c>
      <c r="D634" s="14">
        <v>31000</v>
      </c>
      <c r="E634" s="14">
        <f t="shared" ca="1" si="86"/>
        <v>30</v>
      </c>
      <c r="F634" s="14">
        <v>23</v>
      </c>
      <c r="G634" s="14">
        <f t="shared" si="88"/>
        <v>7</v>
      </c>
      <c r="H634" s="15">
        <f t="shared" si="89"/>
        <v>1347.8260869565217</v>
      </c>
      <c r="I634" s="15">
        <f t="shared" si="90"/>
        <v>31000</v>
      </c>
      <c r="J634" s="14">
        <f t="shared" si="91"/>
        <v>3720</v>
      </c>
      <c r="K634" s="15">
        <f t="shared" si="92"/>
        <v>232.5</v>
      </c>
      <c r="L634" s="15">
        <f t="shared" si="93"/>
        <v>27047.5</v>
      </c>
      <c r="M634" s="14"/>
      <c r="N634" s="14"/>
    </row>
    <row r="635" ht="14.25">
      <c r="A635" s="14">
        <v>633</v>
      </c>
      <c r="B635" s="14" t="str">
        <f t="shared" si="87"/>
        <v>Empl_633</v>
      </c>
      <c r="C635" s="14" t="s">
        <v>13</v>
      </c>
      <c r="D635" s="14">
        <v>36000</v>
      </c>
      <c r="E635" s="14">
        <f t="shared" ca="1" si="86"/>
        <v>30</v>
      </c>
      <c r="F635" s="14">
        <v>20</v>
      </c>
      <c r="G635" s="14">
        <f t="shared" si="88"/>
        <v>10</v>
      </c>
      <c r="H635" s="15">
        <f t="shared" si="89"/>
        <v>1800</v>
      </c>
      <c r="I635" s="15">
        <f t="shared" si="90"/>
        <v>36000</v>
      </c>
      <c r="J635" s="14">
        <f t="shared" si="91"/>
        <v>4320</v>
      </c>
      <c r="K635" s="15">
        <f t="shared" si="92"/>
        <v>270</v>
      </c>
      <c r="L635" s="15">
        <f t="shared" si="93"/>
        <v>31410</v>
      </c>
      <c r="M635" s="14"/>
      <c r="N635" s="14"/>
    </row>
    <row r="636" ht="14.25">
      <c r="A636" s="14">
        <v>634</v>
      </c>
      <c r="B636" s="14" t="str">
        <f t="shared" si="87"/>
        <v>Empl_634</v>
      </c>
      <c r="C636" s="14" t="s">
        <v>9</v>
      </c>
      <c r="D636" s="14">
        <v>19000</v>
      </c>
      <c r="E636" s="14">
        <f t="shared" ca="1" si="86"/>
        <v>30</v>
      </c>
      <c r="F636" s="14">
        <v>23</v>
      </c>
      <c r="G636" s="14">
        <f t="shared" si="88"/>
        <v>7</v>
      </c>
      <c r="H636" s="15">
        <f t="shared" si="89"/>
        <v>826.08695652173913</v>
      </c>
      <c r="I636" s="15">
        <f t="shared" si="90"/>
        <v>19000</v>
      </c>
      <c r="J636" s="14">
        <f t="shared" si="91"/>
        <v>2280</v>
      </c>
      <c r="K636" s="15">
        <f t="shared" si="92"/>
        <v>142.5</v>
      </c>
      <c r="L636" s="15">
        <f t="shared" si="93"/>
        <v>16577.5</v>
      </c>
      <c r="M636" s="14"/>
      <c r="N636" s="14"/>
    </row>
    <row r="637" ht="14.25">
      <c r="A637" s="14">
        <v>635</v>
      </c>
      <c r="B637" s="14" t="str">
        <f t="shared" si="87"/>
        <v>Empl_635</v>
      </c>
      <c r="C637" s="14" t="s">
        <v>11</v>
      </c>
      <c r="D637" s="14">
        <v>20000</v>
      </c>
      <c r="E637" s="14">
        <f t="shared" ca="1" si="86"/>
        <v>30</v>
      </c>
      <c r="F637" s="14">
        <v>24</v>
      </c>
      <c r="G637" s="14">
        <f t="shared" si="88"/>
        <v>6</v>
      </c>
      <c r="H637" s="15">
        <f t="shared" si="89"/>
        <v>833.33333333333337</v>
      </c>
      <c r="I637" s="15">
        <f t="shared" si="90"/>
        <v>20000</v>
      </c>
      <c r="J637" s="14">
        <f t="shared" si="91"/>
        <v>2400</v>
      </c>
      <c r="K637" s="15">
        <f t="shared" si="92"/>
        <v>150</v>
      </c>
      <c r="L637" s="15">
        <f t="shared" si="93"/>
        <v>17450</v>
      </c>
      <c r="M637" s="14"/>
      <c r="N637" s="14"/>
    </row>
    <row r="638" ht="14.25">
      <c r="A638" s="14">
        <v>636</v>
      </c>
      <c r="B638" s="14" t="str">
        <f t="shared" si="87"/>
        <v>Empl_636</v>
      </c>
      <c r="C638" s="14" t="s">
        <v>8</v>
      </c>
      <c r="D638" s="14">
        <v>37000</v>
      </c>
      <c r="E638" s="14">
        <f t="shared" ca="1" si="86"/>
        <v>30</v>
      </c>
      <c r="F638" s="14">
        <v>26</v>
      </c>
      <c r="G638" s="14">
        <f t="shared" si="88"/>
        <v>4</v>
      </c>
      <c r="H638" s="15">
        <f t="shared" si="89"/>
        <v>1423.0769230769231</v>
      </c>
      <c r="I638" s="15">
        <f t="shared" si="90"/>
        <v>37000</v>
      </c>
      <c r="J638" s="14">
        <f t="shared" si="91"/>
        <v>4440</v>
      </c>
      <c r="K638" s="15">
        <f t="shared" si="92"/>
        <v>277.5</v>
      </c>
      <c r="L638" s="15">
        <f t="shared" si="93"/>
        <v>32282.5</v>
      </c>
      <c r="M638" s="14"/>
      <c r="N638" s="14"/>
    </row>
    <row r="639" ht="14.25">
      <c r="A639" s="14">
        <v>637</v>
      </c>
      <c r="B639" s="14" t="str">
        <f t="shared" si="87"/>
        <v>Empl_637</v>
      </c>
      <c r="C639" s="14" t="s">
        <v>12</v>
      </c>
      <c r="D639" s="14">
        <v>23000</v>
      </c>
      <c r="E639" s="14">
        <f t="shared" ca="1" si="86"/>
        <v>30</v>
      </c>
      <c r="F639" s="14">
        <v>23</v>
      </c>
      <c r="G639" s="14">
        <f t="shared" si="88"/>
        <v>7</v>
      </c>
      <c r="H639" s="15">
        <f t="shared" si="89"/>
        <v>1000</v>
      </c>
      <c r="I639" s="15">
        <f t="shared" si="90"/>
        <v>23000</v>
      </c>
      <c r="J639" s="14">
        <f t="shared" si="91"/>
        <v>2760</v>
      </c>
      <c r="K639" s="15">
        <f t="shared" si="92"/>
        <v>172.5</v>
      </c>
      <c r="L639" s="15">
        <f t="shared" si="93"/>
        <v>20067.5</v>
      </c>
      <c r="M639" s="14"/>
      <c r="N639" s="14"/>
    </row>
    <row r="640" ht="14.25">
      <c r="A640" s="14">
        <v>638</v>
      </c>
      <c r="B640" s="14" t="str">
        <f t="shared" si="87"/>
        <v>Empl_638</v>
      </c>
      <c r="C640" s="14" t="s">
        <v>10</v>
      </c>
      <c r="D640" s="14">
        <v>24000</v>
      </c>
      <c r="E640" s="14">
        <f t="shared" ca="1" si="86"/>
        <v>30</v>
      </c>
      <c r="F640" s="14">
        <v>22</v>
      </c>
      <c r="G640" s="14">
        <f t="shared" si="88"/>
        <v>8</v>
      </c>
      <c r="H640" s="15">
        <f t="shared" si="89"/>
        <v>1090.909090909091</v>
      </c>
      <c r="I640" s="15">
        <f t="shared" si="90"/>
        <v>24000</v>
      </c>
      <c r="J640" s="14">
        <f t="shared" si="91"/>
        <v>2880</v>
      </c>
      <c r="K640" s="15">
        <f t="shared" si="92"/>
        <v>180</v>
      </c>
      <c r="L640" s="15">
        <f t="shared" si="93"/>
        <v>20940</v>
      </c>
      <c r="M640" s="14"/>
      <c r="N640" s="14"/>
    </row>
    <row r="641" ht="14.25">
      <c r="A641" s="14">
        <v>639</v>
      </c>
      <c r="B641" s="14" t="str">
        <f t="shared" si="87"/>
        <v>Empl_639</v>
      </c>
      <c r="C641" s="14" t="s">
        <v>13</v>
      </c>
      <c r="D641" s="14">
        <v>34000</v>
      </c>
      <c r="E641" s="14">
        <f t="shared" ca="1" si="86"/>
        <v>30</v>
      </c>
      <c r="F641" s="14">
        <v>24</v>
      </c>
      <c r="G641" s="14">
        <f t="shared" si="88"/>
        <v>6</v>
      </c>
      <c r="H641" s="15">
        <f t="shared" si="89"/>
        <v>1416.6666666666667</v>
      </c>
      <c r="I641" s="15">
        <f t="shared" si="90"/>
        <v>34000</v>
      </c>
      <c r="J641" s="14">
        <f t="shared" si="91"/>
        <v>4080</v>
      </c>
      <c r="K641" s="15">
        <f t="shared" si="92"/>
        <v>255</v>
      </c>
      <c r="L641" s="15">
        <f t="shared" si="93"/>
        <v>29665</v>
      </c>
      <c r="M641" s="14"/>
      <c r="N641" s="14"/>
    </row>
    <row r="642" ht="14.25">
      <c r="A642" s="14">
        <v>640</v>
      </c>
      <c r="B642" s="14" t="str">
        <f t="shared" si="87"/>
        <v>Empl_640</v>
      </c>
      <c r="C642" s="14" t="s">
        <v>9</v>
      </c>
      <c r="D642" s="14">
        <v>33000</v>
      </c>
      <c r="E642" s="14">
        <f t="shared" ca="1" si="86"/>
        <v>30</v>
      </c>
      <c r="F642" s="14">
        <v>25</v>
      </c>
      <c r="G642" s="14">
        <f t="shared" si="88"/>
        <v>5</v>
      </c>
      <c r="H642" s="15">
        <f t="shared" si="89"/>
        <v>1320</v>
      </c>
      <c r="I642" s="15">
        <f t="shared" si="90"/>
        <v>33000</v>
      </c>
      <c r="J642" s="14">
        <f t="shared" si="91"/>
        <v>3960</v>
      </c>
      <c r="K642" s="15">
        <f t="shared" si="92"/>
        <v>247.5</v>
      </c>
      <c r="L642" s="15">
        <f t="shared" si="93"/>
        <v>28792.5</v>
      </c>
      <c r="M642" s="14"/>
      <c r="N642" s="14"/>
    </row>
    <row r="643" ht="14.25">
      <c r="A643" s="14">
        <v>641</v>
      </c>
      <c r="B643" s="14" t="str">
        <f t="shared" si="87"/>
        <v>Empl_641</v>
      </c>
      <c r="C643" s="14" t="s">
        <v>11</v>
      </c>
      <c r="D643" s="14">
        <v>42000</v>
      </c>
      <c r="E643" s="14">
        <f t="shared" ref="E643:E706" ca="1" si="94">DAY(EOMONTH(TODAY(),0))</f>
        <v>30</v>
      </c>
      <c r="F643" s="14">
        <v>23</v>
      </c>
      <c r="G643" s="14">
        <f t="shared" si="88"/>
        <v>7</v>
      </c>
      <c r="H643" s="15">
        <f t="shared" si="89"/>
        <v>1826.0869565217392</v>
      </c>
      <c r="I643" s="15">
        <f t="shared" si="90"/>
        <v>42000</v>
      </c>
      <c r="J643" s="14">
        <f t="shared" si="91"/>
        <v>5040</v>
      </c>
      <c r="K643" s="15">
        <f t="shared" si="92"/>
        <v>315</v>
      </c>
      <c r="L643" s="15">
        <f t="shared" si="93"/>
        <v>36645</v>
      </c>
      <c r="M643" s="14"/>
      <c r="N643" s="14"/>
    </row>
    <row r="644" ht="14.25">
      <c r="A644" s="14">
        <v>642</v>
      </c>
      <c r="B644" s="14" t="str">
        <f t="shared" si="87"/>
        <v>Empl_642</v>
      </c>
      <c r="C644" s="14" t="s">
        <v>8</v>
      </c>
      <c r="D644" s="14">
        <v>33000</v>
      </c>
      <c r="E644" s="14">
        <f t="shared" ca="1" si="94"/>
        <v>30</v>
      </c>
      <c r="F644" s="14">
        <v>23</v>
      </c>
      <c r="G644" s="14">
        <f t="shared" si="88"/>
        <v>7</v>
      </c>
      <c r="H644" s="15">
        <f t="shared" si="89"/>
        <v>1434.7826086956522</v>
      </c>
      <c r="I644" s="15">
        <f t="shared" si="90"/>
        <v>33000</v>
      </c>
      <c r="J644" s="14">
        <f t="shared" si="91"/>
        <v>3960</v>
      </c>
      <c r="K644" s="15">
        <f t="shared" si="92"/>
        <v>247.5</v>
      </c>
      <c r="L644" s="15">
        <f t="shared" si="93"/>
        <v>28792.5</v>
      </c>
      <c r="M644" s="14"/>
      <c r="N644" s="14"/>
    </row>
    <row r="645" ht="14.25">
      <c r="A645" s="14">
        <v>643</v>
      </c>
      <c r="B645" s="14" t="str">
        <f t="shared" si="87"/>
        <v>Empl_643</v>
      </c>
      <c r="C645" s="14" t="s">
        <v>12</v>
      </c>
      <c r="D645" s="14">
        <v>30000</v>
      </c>
      <c r="E645" s="14">
        <f t="shared" ca="1" si="94"/>
        <v>30</v>
      </c>
      <c r="F645" s="14">
        <v>23</v>
      </c>
      <c r="G645" s="14">
        <f t="shared" si="88"/>
        <v>7</v>
      </c>
      <c r="H645" s="15">
        <f t="shared" si="89"/>
        <v>1304.3478260869565</v>
      </c>
      <c r="I645" s="15">
        <f t="shared" si="90"/>
        <v>30000</v>
      </c>
      <c r="J645" s="14">
        <f t="shared" si="91"/>
        <v>3600</v>
      </c>
      <c r="K645" s="15">
        <f t="shared" si="92"/>
        <v>225</v>
      </c>
      <c r="L645" s="15">
        <f t="shared" si="93"/>
        <v>26175</v>
      </c>
      <c r="M645" s="14"/>
      <c r="N645" s="14"/>
    </row>
    <row r="646" ht="14.25">
      <c r="A646" s="14">
        <v>644</v>
      </c>
      <c r="B646" s="14" t="str">
        <f t="shared" si="87"/>
        <v>Empl_644</v>
      </c>
      <c r="C646" s="14" t="s">
        <v>10</v>
      </c>
      <c r="D646" s="14">
        <v>52000</v>
      </c>
      <c r="E646" s="14">
        <f t="shared" ca="1" si="94"/>
        <v>30</v>
      </c>
      <c r="F646" s="14">
        <v>29</v>
      </c>
      <c r="G646" s="14">
        <f t="shared" si="88"/>
        <v>1</v>
      </c>
      <c r="H646" s="15">
        <f t="shared" si="89"/>
        <v>1793.1034482758621</v>
      </c>
      <c r="I646" s="15">
        <f t="shared" si="90"/>
        <v>52000</v>
      </c>
      <c r="J646" s="14">
        <f t="shared" si="91"/>
        <v>6240</v>
      </c>
      <c r="K646" s="15">
        <f t="shared" si="92"/>
        <v>390</v>
      </c>
      <c r="L646" s="15">
        <f t="shared" si="93"/>
        <v>45370</v>
      </c>
      <c r="M646" s="14"/>
      <c r="N646" s="14"/>
    </row>
    <row r="647" ht="14.25">
      <c r="A647" s="14">
        <v>645</v>
      </c>
      <c r="B647" s="14" t="str">
        <f t="shared" si="87"/>
        <v>Empl_645</v>
      </c>
      <c r="C647" s="14" t="s">
        <v>13</v>
      </c>
      <c r="D647" s="14">
        <v>33000</v>
      </c>
      <c r="E647" s="14">
        <f t="shared" ca="1" si="94"/>
        <v>30</v>
      </c>
      <c r="F647" s="14">
        <v>24</v>
      </c>
      <c r="G647" s="14">
        <f t="shared" si="88"/>
        <v>6</v>
      </c>
      <c r="H647" s="15">
        <f t="shared" si="89"/>
        <v>1375</v>
      </c>
      <c r="I647" s="15">
        <f t="shared" si="90"/>
        <v>33000</v>
      </c>
      <c r="J647" s="14">
        <f t="shared" si="91"/>
        <v>3960</v>
      </c>
      <c r="K647" s="15">
        <f t="shared" si="92"/>
        <v>247.5</v>
      </c>
      <c r="L647" s="15">
        <f t="shared" si="93"/>
        <v>28792.5</v>
      </c>
      <c r="M647" s="14"/>
      <c r="N647" s="14"/>
    </row>
    <row r="648" ht="14.25">
      <c r="A648" s="14">
        <v>646</v>
      </c>
      <c r="B648" s="14" t="str">
        <f t="shared" si="87"/>
        <v>Empl_646</v>
      </c>
      <c r="C648" s="14" t="s">
        <v>9</v>
      </c>
      <c r="D648" s="14">
        <v>15000</v>
      </c>
      <c r="E648" s="14">
        <f t="shared" ca="1" si="94"/>
        <v>30</v>
      </c>
      <c r="F648" s="14">
        <v>23</v>
      </c>
      <c r="G648" s="14">
        <f t="shared" si="88"/>
        <v>7</v>
      </c>
      <c r="H648" s="15">
        <f t="shared" si="89"/>
        <v>652.17391304347825</v>
      </c>
      <c r="I648" s="15">
        <f t="shared" si="90"/>
        <v>15000</v>
      </c>
      <c r="J648" s="14">
        <f t="shared" si="91"/>
        <v>1800</v>
      </c>
      <c r="K648" s="15">
        <f t="shared" si="92"/>
        <v>112.5</v>
      </c>
      <c r="L648" s="15">
        <f t="shared" si="93"/>
        <v>13087.5</v>
      </c>
      <c r="M648" s="14"/>
      <c r="N648" s="14"/>
    </row>
    <row r="649" ht="14.25">
      <c r="A649" s="14">
        <v>647</v>
      </c>
      <c r="B649" s="14" t="str">
        <f t="shared" si="87"/>
        <v>Empl_647</v>
      </c>
      <c r="C649" s="14" t="s">
        <v>11</v>
      </c>
      <c r="D649" s="14">
        <v>17000</v>
      </c>
      <c r="E649" s="14">
        <f t="shared" ca="1" si="94"/>
        <v>30</v>
      </c>
      <c r="F649" s="14">
        <v>21</v>
      </c>
      <c r="G649" s="14">
        <f t="shared" si="88"/>
        <v>9</v>
      </c>
      <c r="H649" s="15">
        <f t="shared" si="89"/>
        <v>809.52380952380952</v>
      </c>
      <c r="I649" s="15">
        <f t="shared" si="90"/>
        <v>17000</v>
      </c>
      <c r="J649" s="14">
        <f t="shared" si="91"/>
        <v>2040</v>
      </c>
      <c r="K649" s="15">
        <f t="shared" si="92"/>
        <v>127.5</v>
      </c>
      <c r="L649" s="15">
        <f t="shared" si="93"/>
        <v>14832.5</v>
      </c>
      <c r="M649" s="14"/>
      <c r="N649" s="14"/>
    </row>
    <row r="650" ht="14.25">
      <c r="A650" s="14">
        <v>648</v>
      </c>
      <c r="B650" s="14" t="str">
        <f t="shared" si="87"/>
        <v>Empl_648</v>
      </c>
      <c r="C650" s="14" t="s">
        <v>8</v>
      </c>
      <c r="D650" s="14">
        <v>31000</v>
      </c>
      <c r="E650" s="14">
        <f t="shared" ca="1" si="94"/>
        <v>30</v>
      </c>
      <c r="F650" s="14">
        <v>29</v>
      </c>
      <c r="G650" s="14">
        <f t="shared" si="88"/>
        <v>1</v>
      </c>
      <c r="H650" s="15">
        <f t="shared" si="89"/>
        <v>1068.9655172413793</v>
      </c>
      <c r="I650" s="15">
        <f t="shared" si="90"/>
        <v>31000</v>
      </c>
      <c r="J650" s="14">
        <f t="shared" si="91"/>
        <v>3720</v>
      </c>
      <c r="K650" s="15">
        <f t="shared" si="92"/>
        <v>232.5</v>
      </c>
      <c r="L650" s="15">
        <f t="shared" si="93"/>
        <v>27047.5</v>
      </c>
      <c r="M650" s="14"/>
      <c r="N650" s="14"/>
    </row>
    <row r="651" ht="14.25">
      <c r="A651" s="14">
        <v>649</v>
      </c>
      <c r="B651" s="14" t="str">
        <f t="shared" si="87"/>
        <v>Empl_649</v>
      </c>
      <c r="C651" s="14" t="s">
        <v>12</v>
      </c>
      <c r="D651" s="14">
        <v>22000</v>
      </c>
      <c r="E651" s="14">
        <f t="shared" ca="1" si="94"/>
        <v>30</v>
      </c>
      <c r="F651" s="14">
        <v>21</v>
      </c>
      <c r="G651" s="14">
        <f t="shared" si="88"/>
        <v>9</v>
      </c>
      <c r="H651" s="15">
        <f t="shared" si="89"/>
        <v>1047.6190476190477</v>
      </c>
      <c r="I651" s="15">
        <f t="shared" si="90"/>
        <v>22000</v>
      </c>
      <c r="J651" s="14">
        <f t="shared" si="91"/>
        <v>2640</v>
      </c>
      <c r="K651" s="15">
        <f t="shared" si="92"/>
        <v>165</v>
      </c>
      <c r="L651" s="15">
        <f t="shared" si="93"/>
        <v>19195</v>
      </c>
      <c r="M651" s="14"/>
      <c r="N651" s="14"/>
    </row>
    <row r="652" ht="14.25">
      <c r="A652" s="14">
        <v>650</v>
      </c>
      <c r="B652" s="14" t="str">
        <f t="shared" si="87"/>
        <v>Empl_650</v>
      </c>
      <c r="C652" s="14" t="s">
        <v>10</v>
      </c>
      <c r="D652" s="14">
        <v>43000</v>
      </c>
      <c r="E652" s="14">
        <f t="shared" ca="1" si="94"/>
        <v>30</v>
      </c>
      <c r="F652" s="14">
        <v>22</v>
      </c>
      <c r="G652" s="14">
        <f t="shared" si="88"/>
        <v>8</v>
      </c>
      <c r="H652" s="15">
        <f t="shared" si="89"/>
        <v>1954.5454545454545</v>
      </c>
      <c r="I652" s="15">
        <f t="shared" si="90"/>
        <v>43000</v>
      </c>
      <c r="J652" s="14">
        <f t="shared" si="91"/>
        <v>5160</v>
      </c>
      <c r="K652" s="15">
        <f t="shared" si="92"/>
        <v>322.5</v>
      </c>
      <c r="L652" s="15">
        <f t="shared" si="93"/>
        <v>37517.5</v>
      </c>
      <c r="M652" s="14"/>
      <c r="N652" s="14"/>
    </row>
    <row r="653" ht="14.25">
      <c r="A653" s="14">
        <v>651</v>
      </c>
      <c r="B653" s="14" t="str">
        <f t="shared" si="87"/>
        <v>Empl_651</v>
      </c>
      <c r="C653" s="14" t="s">
        <v>13</v>
      </c>
      <c r="D653" s="14">
        <v>46000</v>
      </c>
      <c r="E653" s="14">
        <f t="shared" ca="1" si="94"/>
        <v>30</v>
      </c>
      <c r="F653" s="14">
        <v>24</v>
      </c>
      <c r="G653" s="14">
        <f t="shared" si="88"/>
        <v>6</v>
      </c>
      <c r="H653" s="15">
        <f t="shared" si="89"/>
        <v>1916.6666666666667</v>
      </c>
      <c r="I653" s="15">
        <f t="shared" si="90"/>
        <v>46000</v>
      </c>
      <c r="J653" s="14">
        <f t="shared" si="91"/>
        <v>5520</v>
      </c>
      <c r="K653" s="15">
        <f t="shared" si="92"/>
        <v>345</v>
      </c>
      <c r="L653" s="15">
        <f t="shared" si="93"/>
        <v>40135</v>
      </c>
      <c r="M653" s="14"/>
      <c r="N653" s="14"/>
    </row>
    <row r="654" ht="14.25">
      <c r="A654" s="14">
        <v>652</v>
      </c>
      <c r="B654" s="14" t="str">
        <f t="shared" si="87"/>
        <v>Empl_652</v>
      </c>
      <c r="C654" s="14" t="s">
        <v>9</v>
      </c>
      <c r="D654" s="14">
        <v>58000</v>
      </c>
      <c r="E654" s="14">
        <f t="shared" ca="1" si="94"/>
        <v>30</v>
      </c>
      <c r="F654" s="14">
        <v>28</v>
      </c>
      <c r="G654" s="14">
        <f t="shared" si="88"/>
        <v>2</v>
      </c>
      <c r="H654" s="15">
        <f t="shared" si="89"/>
        <v>2071.4285714285716</v>
      </c>
      <c r="I654" s="15">
        <f t="shared" si="90"/>
        <v>58000</v>
      </c>
      <c r="J654" s="14">
        <f t="shared" si="91"/>
        <v>6960</v>
      </c>
      <c r="K654" s="15">
        <f t="shared" si="92"/>
        <v>435</v>
      </c>
      <c r="L654" s="15">
        <f t="shared" si="93"/>
        <v>50605</v>
      </c>
      <c r="M654" s="14"/>
      <c r="N654" s="14"/>
    </row>
    <row r="655" ht="14.25">
      <c r="A655" s="14">
        <v>653</v>
      </c>
      <c r="B655" s="14" t="str">
        <f t="shared" si="87"/>
        <v>Empl_653</v>
      </c>
      <c r="C655" s="14" t="s">
        <v>11</v>
      </c>
      <c r="D655" s="14">
        <v>52000</v>
      </c>
      <c r="E655" s="14">
        <f t="shared" ca="1" si="94"/>
        <v>30</v>
      </c>
      <c r="F655" s="14">
        <v>26</v>
      </c>
      <c r="G655" s="14">
        <f t="shared" si="88"/>
        <v>4</v>
      </c>
      <c r="H655" s="15">
        <f t="shared" si="89"/>
        <v>2000</v>
      </c>
      <c r="I655" s="15">
        <f t="shared" si="90"/>
        <v>52000</v>
      </c>
      <c r="J655" s="14">
        <f t="shared" si="91"/>
        <v>6240</v>
      </c>
      <c r="K655" s="15">
        <f t="shared" si="92"/>
        <v>390</v>
      </c>
      <c r="L655" s="15">
        <f t="shared" si="93"/>
        <v>45370</v>
      </c>
      <c r="M655" s="14"/>
      <c r="N655" s="14"/>
    </row>
    <row r="656" ht="14.25">
      <c r="A656" s="14">
        <v>654</v>
      </c>
      <c r="B656" s="14" t="str">
        <f t="shared" si="87"/>
        <v>Empl_654</v>
      </c>
      <c r="C656" s="14" t="s">
        <v>8</v>
      </c>
      <c r="D656" s="14">
        <v>58000</v>
      </c>
      <c r="E656" s="14">
        <f t="shared" ca="1" si="94"/>
        <v>30</v>
      </c>
      <c r="F656" s="14">
        <v>29</v>
      </c>
      <c r="G656" s="14">
        <f t="shared" si="88"/>
        <v>1</v>
      </c>
      <c r="H656" s="15">
        <f t="shared" si="89"/>
        <v>2000</v>
      </c>
      <c r="I656" s="15">
        <f t="shared" si="90"/>
        <v>58000</v>
      </c>
      <c r="J656" s="14">
        <f t="shared" si="91"/>
        <v>6960</v>
      </c>
      <c r="K656" s="15">
        <f t="shared" si="92"/>
        <v>435</v>
      </c>
      <c r="L656" s="15">
        <f t="shared" si="93"/>
        <v>50605</v>
      </c>
      <c r="M656" s="14"/>
      <c r="N656" s="14"/>
    </row>
    <row r="657" ht="14.25">
      <c r="A657" s="14">
        <v>655</v>
      </c>
      <c r="B657" s="14" t="str">
        <f t="shared" si="87"/>
        <v>Empl_655</v>
      </c>
      <c r="C657" s="14" t="s">
        <v>12</v>
      </c>
      <c r="D657" s="14">
        <v>45000</v>
      </c>
      <c r="E657" s="14">
        <f t="shared" ca="1" si="94"/>
        <v>30</v>
      </c>
      <c r="F657" s="14">
        <v>26</v>
      </c>
      <c r="G657" s="14">
        <f t="shared" si="88"/>
        <v>4</v>
      </c>
      <c r="H657" s="15">
        <f t="shared" si="89"/>
        <v>1730.7692307692307</v>
      </c>
      <c r="I657" s="15">
        <f t="shared" si="90"/>
        <v>45000</v>
      </c>
      <c r="J657" s="14">
        <f t="shared" si="91"/>
        <v>5400</v>
      </c>
      <c r="K657" s="15">
        <f t="shared" si="92"/>
        <v>337.5</v>
      </c>
      <c r="L657" s="15">
        <f t="shared" si="93"/>
        <v>39262.5</v>
      </c>
      <c r="M657" s="14"/>
      <c r="N657" s="14"/>
    </row>
    <row r="658" ht="14.25">
      <c r="A658" s="14">
        <v>656</v>
      </c>
      <c r="B658" s="14" t="str">
        <f t="shared" si="87"/>
        <v>Empl_656</v>
      </c>
      <c r="C658" s="14" t="s">
        <v>10</v>
      </c>
      <c r="D658" s="14">
        <v>41000</v>
      </c>
      <c r="E658" s="14">
        <f t="shared" ca="1" si="94"/>
        <v>30</v>
      </c>
      <c r="F658" s="14">
        <v>29</v>
      </c>
      <c r="G658" s="14">
        <f t="shared" si="88"/>
        <v>1</v>
      </c>
      <c r="H658" s="15">
        <f t="shared" si="89"/>
        <v>1413.7931034482758</v>
      </c>
      <c r="I658" s="15">
        <f t="shared" si="90"/>
        <v>41000</v>
      </c>
      <c r="J658" s="14">
        <f t="shared" si="91"/>
        <v>4920</v>
      </c>
      <c r="K658" s="15">
        <f t="shared" si="92"/>
        <v>307.5</v>
      </c>
      <c r="L658" s="15">
        <f t="shared" si="93"/>
        <v>35772.5</v>
      </c>
      <c r="M658" s="14"/>
      <c r="N658" s="14"/>
    </row>
    <row r="659" ht="14.25">
      <c r="A659" s="14">
        <v>657</v>
      </c>
      <c r="B659" s="14" t="str">
        <f t="shared" si="87"/>
        <v>Empl_657</v>
      </c>
      <c r="C659" s="14" t="s">
        <v>13</v>
      </c>
      <c r="D659" s="14">
        <v>33000</v>
      </c>
      <c r="E659" s="14">
        <f t="shared" ca="1" si="94"/>
        <v>30</v>
      </c>
      <c r="F659" s="14">
        <v>21</v>
      </c>
      <c r="G659" s="14">
        <f t="shared" si="88"/>
        <v>9</v>
      </c>
      <c r="H659" s="15">
        <f t="shared" si="89"/>
        <v>1571.4285714285713</v>
      </c>
      <c r="I659" s="15">
        <f t="shared" si="90"/>
        <v>33000</v>
      </c>
      <c r="J659" s="14">
        <f t="shared" si="91"/>
        <v>3960</v>
      </c>
      <c r="K659" s="15">
        <f t="shared" si="92"/>
        <v>247.5</v>
      </c>
      <c r="L659" s="15">
        <f t="shared" si="93"/>
        <v>28792.5</v>
      </c>
      <c r="M659" s="14"/>
      <c r="N659" s="14"/>
    </row>
    <row r="660" ht="14.25">
      <c r="A660" s="14">
        <v>658</v>
      </c>
      <c r="B660" s="14" t="str">
        <f t="shared" si="87"/>
        <v>Empl_658</v>
      </c>
      <c r="C660" s="14" t="s">
        <v>9</v>
      </c>
      <c r="D660" s="14">
        <v>30000</v>
      </c>
      <c r="E660" s="14">
        <f t="shared" ca="1" si="94"/>
        <v>30</v>
      </c>
      <c r="F660" s="14">
        <v>25</v>
      </c>
      <c r="G660" s="14">
        <f t="shared" si="88"/>
        <v>5</v>
      </c>
      <c r="H660" s="15">
        <f t="shared" si="89"/>
        <v>1200</v>
      </c>
      <c r="I660" s="15">
        <f t="shared" si="90"/>
        <v>30000</v>
      </c>
      <c r="J660" s="14">
        <f t="shared" si="91"/>
        <v>3600</v>
      </c>
      <c r="K660" s="15">
        <f t="shared" si="92"/>
        <v>225</v>
      </c>
      <c r="L660" s="15">
        <f t="shared" si="93"/>
        <v>26175</v>
      </c>
      <c r="M660" s="14"/>
      <c r="N660" s="14"/>
    </row>
    <row r="661" ht="14.25">
      <c r="A661" s="14">
        <v>659</v>
      </c>
      <c r="B661" s="14" t="str">
        <f t="shared" si="87"/>
        <v>Empl_659</v>
      </c>
      <c r="C661" s="14" t="s">
        <v>11</v>
      </c>
      <c r="D661" s="14">
        <v>54000</v>
      </c>
      <c r="E661" s="14">
        <f t="shared" ca="1" si="94"/>
        <v>30</v>
      </c>
      <c r="F661" s="14">
        <v>27</v>
      </c>
      <c r="G661" s="14">
        <f t="shared" si="88"/>
        <v>3</v>
      </c>
      <c r="H661" s="15">
        <f t="shared" si="89"/>
        <v>2000</v>
      </c>
      <c r="I661" s="15">
        <f t="shared" si="90"/>
        <v>54000</v>
      </c>
      <c r="J661" s="14">
        <f t="shared" si="91"/>
        <v>6480</v>
      </c>
      <c r="K661" s="15">
        <f t="shared" si="92"/>
        <v>405</v>
      </c>
      <c r="L661" s="15">
        <f t="shared" si="93"/>
        <v>47115</v>
      </c>
      <c r="M661" s="14"/>
      <c r="N661" s="14"/>
    </row>
    <row r="662" ht="14.25">
      <c r="A662" s="14">
        <v>660</v>
      </c>
      <c r="B662" s="14" t="str">
        <f t="shared" si="87"/>
        <v>Empl_660</v>
      </c>
      <c r="C662" s="14" t="s">
        <v>8</v>
      </c>
      <c r="D662" s="14">
        <v>19000</v>
      </c>
      <c r="E662" s="14">
        <f t="shared" ca="1" si="94"/>
        <v>30</v>
      </c>
      <c r="F662" s="14">
        <v>21</v>
      </c>
      <c r="G662" s="14">
        <f t="shared" si="88"/>
        <v>9</v>
      </c>
      <c r="H662" s="15">
        <f t="shared" si="89"/>
        <v>904.76190476190482</v>
      </c>
      <c r="I662" s="15">
        <f t="shared" si="90"/>
        <v>19000</v>
      </c>
      <c r="J662" s="14">
        <f t="shared" si="91"/>
        <v>2280</v>
      </c>
      <c r="K662" s="15">
        <f t="shared" si="92"/>
        <v>142.5</v>
      </c>
      <c r="L662" s="15">
        <f t="shared" si="93"/>
        <v>16577.5</v>
      </c>
      <c r="M662" s="14"/>
      <c r="N662" s="14"/>
    </row>
    <row r="663" ht="14.25">
      <c r="A663" s="14">
        <v>661</v>
      </c>
      <c r="B663" s="14" t="str">
        <f t="shared" si="87"/>
        <v>Empl_661</v>
      </c>
      <c r="C663" s="14" t="s">
        <v>12</v>
      </c>
      <c r="D663" s="14">
        <v>32000</v>
      </c>
      <c r="E663" s="14">
        <f t="shared" ca="1" si="94"/>
        <v>30</v>
      </c>
      <c r="F663" s="14">
        <v>23</v>
      </c>
      <c r="G663" s="14">
        <f t="shared" si="88"/>
        <v>7</v>
      </c>
      <c r="H663" s="15">
        <f t="shared" si="89"/>
        <v>1391.304347826087</v>
      </c>
      <c r="I663" s="15">
        <f t="shared" si="90"/>
        <v>32000</v>
      </c>
      <c r="J663" s="14">
        <f t="shared" si="91"/>
        <v>3840</v>
      </c>
      <c r="K663" s="15">
        <f t="shared" si="92"/>
        <v>240</v>
      </c>
      <c r="L663" s="15">
        <f t="shared" si="93"/>
        <v>27920</v>
      </c>
      <c r="M663" s="14"/>
      <c r="N663" s="14"/>
    </row>
    <row r="664" ht="14.25">
      <c r="A664" s="14">
        <v>662</v>
      </c>
      <c r="B664" s="14" t="str">
        <f t="shared" si="87"/>
        <v>Empl_662</v>
      </c>
      <c r="C664" s="14" t="s">
        <v>10</v>
      </c>
      <c r="D664" s="14">
        <v>51000</v>
      </c>
      <c r="E664" s="14">
        <f t="shared" ca="1" si="94"/>
        <v>30</v>
      </c>
      <c r="F664" s="14">
        <v>29</v>
      </c>
      <c r="G664" s="14">
        <f t="shared" si="88"/>
        <v>1</v>
      </c>
      <c r="H664" s="15">
        <f t="shared" si="89"/>
        <v>1758.6206896551723</v>
      </c>
      <c r="I664" s="15">
        <f t="shared" si="90"/>
        <v>51000</v>
      </c>
      <c r="J664" s="14">
        <f t="shared" si="91"/>
        <v>6120</v>
      </c>
      <c r="K664" s="15">
        <f t="shared" si="92"/>
        <v>382.5</v>
      </c>
      <c r="L664" s="15">
        <f t="shared" si="93"/>
        <v>44497.5</v>
      </c>
      <c r="M664" s="14"/>
      <c r="N664" s="14"/>
    </row>
    <row r="665" ht="14.25">
      <c r="A665" s="14">
        <v>663</v>
      </c>
      <c r="B665" s="14" t="str">
        <f t="shared" si="87"/>
        <v>Empl_663</v>
      </c>
      <c r="C665" s="14" t="s">
        <v>13</v>
      </c>
      <c r="D665" s="14">
        <v>38000</v>
      </c>
      <c r="E665" s="14">
        <f t="shared" ca="1" si="94"/>
        <v>30</v>
      </c>
      <c r="F665" s="14">
        <v>26</v>
      </c>
      <c r="G665" s="14">
        <f t="shared" si="88"/>
        <v>4</v>
      </c>
      <c r="H665" s="15">
        <f t="shared" si="89"/>
        <v>1461.5384615384614</v>
      </c>
      <c r="I665" s="15">
        <f t="shared" si="90"/>
        <v>38000</v>
      </c>
      <c r="J665" s="14">
        <f t="shared" si="91"/>
        <v>4560</v>
      </c>
      <c r="K665" s="15">
        <f t="shared" si="92"/>
        <v>285</v>
      </c>
      <c r="L665" s="15">
        <f t="shared" si="93"/>
        <v>33155</v>
      </c>
      <c r="M665" s="14"/>
      <c r="N665" s="14"/>
    </row>
    <row r="666" ht="14.25">
      <c r="A666" s="14">
        <v>664</v>
      </c>
      <c r="B666" s="14" t="str">
        <f t="shared" si="87"/>
        <v>Empl_664</v>
      </c>
      <c r="C666" s="14" t="s">
        <v>9</v>
      </c>
      <c r="D666" s="14">
        <v>15000</v>
      </c>
      <c r="E666" s="14">
        <f t="shared" ca="1" si="94"/>
        <v>30</v>
      </c>
      <c r="F666" s="14">
        <v>30</v>
      </c>
      <c r="G666" s="14">
        <f t="shared" si="88"/>
        <v>0</v>
      </c>
      <c r="H666" s="15">
        <f t="shared" si="89"/>
        <v>500</v>
      </c>
      <c r="I666" s="15">
        <f t="shared" si="90"/>
        <v>15000</v>
      </c>
      <c r="J666" s="14">
        <f t="shared" si="91"/>
        <v>1800</v>
      </c>
      <c r="K666" s="15">
        <f t="shared" si="92"/>
        <v>112.5</v>
      </c>
      <c r="L666" s="15">
        <f t="shared" si="93"/>
        <v>13087.5</v>
      </c>
      <c r="M666" s="14"/>
      <c r="N666" s="14"/>
    </row>
    <row r="667" ht="14.25">
      <c r="A667" s="14">
        <v>665</v>
      </c>
      <c r="B667" s="14" t="str">
        <f t="shared" si="87"/>
        <v>Empl_665</v>
      </c>
      <c r="C667" s="14" t="s">
        <v>11</v>
      </c>
      <c r="D667" s="14">
        <v>50000</v>
      </c>
      <c r="E667" s="14">
        <f t="shared" ca="1" si="94"/>
        <v>30</v>
      </c>
      <c r="F667" s="14">
        <v>28</v>
      </c>
      <c r="G667" s="14">
        <f t="shared" si="88"/>
        <v>2</v>
      </c>
      <c r="H667" s="15">
        <f t="shared" si="89"/>
        <v>1785.7142857142858</v>
      </c>
      <c r="I667" s="15">
        <f t="shared" si="90"/>
        <v>50000</v>
      </c>
      <c r="J667" s="14">
        <f t="shared" si="91"/>
        <v>6000</v>
      </c>
      <c r="K667" s="15">
        <f t="shared" si="92"/>
        <v>375</v>
      </c>
      <c r="L667" s="15">
        <f t="shared" si="93"/>
        <v>43625</v>
      </c>
      <c r="M667" s="14"/>
      <c r="N667" s="14"/>
    </row>
    <row r="668" ht="14.25">
      <c r="A668" s="14">
        <v>666</v>
      </c>
      <c r="B668" s="14" t="str">
        <f t="shared" si="87"/>
        <v>Empl_666</v>
      </c>
      <c r="C668" s="14" t="s">
        <v>8</v>
      </c>
      <c r="D668" s="14">
        <v>45000</v>
      </c>
      <c r="E668" s="14">
        <f t="shared" ca="1" si="94"/>
        <v>30</v>
      </c>
      <c r="F668" s="14">
        <v>20</v>
      </c>
      <c r="G668" s="14">
        <f t="shared" si="88"/>
        <v>10</v>
      </c>
      <c r="H668" s="15">
        <f t="shared" si="89"/>
        <v>2250</v>
      </c>
      <c r="I668" s="15">
        <f t="shared" si="90"/>
        <v>45000</v>
      </c>
      <c r="J668" s="14">
        <f t="shared" si="91"/>
        <v>5400</v>
      </c>
      <c r="K668" s="15">
        <f t="shared" si="92"/>
        <v>337.5</v>
      </c>
      <c r="L668" s="15">
        <f t="shared" si="93"/>
        <v>39262.5</v>
      </c>
      <c r="M668" s="14"/>
      <c r="N668" s="14"/>
    </row>
    <row r="669" ht="14.25">
      <c r="A669" s="14">
        <v>667</v>
      </c>
      <c r="B669" s="14" t="str">
        <f t="shared" si="87"/>
        <v>Empl_667</v>
      </c>
      <c r="C669" s="14" t="s">
        <v>12</v>
      </c>
      <c r="D669" s="14">
        <v>37000</v>
      </c>
      <c r="E669" s="14">
        <f t="shared" ca="1" si="94"/>
        <v>30</v>
      </c>
      <c r="F669" s="14">
        <v>20</v>
      </c>
      <c r="G669" s="14">
        <f t="shared" si="88"/>
        <v>10</v>
      </c>
      <c r="H669" s="15">
        <f t="shared" si="89"/>
        <v>1850</v>
      </c>
      <c r="I669" s="15">
        <f t="shared" si="90"/>
        <v>37000</v>
      </c>
      <c r="J669" s="14">
        <f t="shared" si="91"/>
        <v>4440</v>
      </c>
      <c r="K669" s="15">
        <f t="shared" si="92"/>
        <v>277.5</v>
      </c>
      <c r="L669" s="15">
        <f t="shared" si="93"/>
        <v>32282.5</v>
      </c>
      <c r="M669" s="14"/>
      <c r="N669" s="14"/>
    </row>
    <row r="670" ht="14.25">
      <c r="A670" s="14">
        <v>668</v>
      </c>
      <c r="B670" s="14" t="str">
        <f t="shared" si="87"/>
        <v>Empl_668</v>
      </c>
      <c r="C670" s="14" t="s">
        <v>10</v>
      </c>
      <c r="D670" s="14">
        <v>35000</v>
      </c>
      <c r="E670" s="14">
        <f t="shared" ca="1" si="94"/>
        <v>30</v>
      </c>
      <c r="F670" s="14">
        <v>26</v>
      </c>
      <c r="G670" s="14">
        <f t="shared" si="88"/>
        <v>4</v>
      </c>
      <c r="H670" s="15">
        <f t="shared" si="89"/>
        <v>1346.1538461538462</v>
      </c>
      <c r="I670" s="15">
        <f t="shared" si="90"/>
        <v>35000</v>
      </c>
      <c r="J670" s="14">
        <f t="shared" si="91"/>
        <v>4200</v>
      </c>
      <c r="K670" s="15">
        <f t="shared" si="92"/>
        <v>262.5</v>
      </c>
      <c r="L670" s="15">
        <f t="shared" si="93"/>
        <v>30537.5</v>
      </c>
      <c r="M670" s="14"/>
      <c r="N670" s="14"/>
    </row>
    <row r="671" ht="14.25">
      <c r="A671" s="14">
        <v>669</v>
      </c>
      <c r="B671" s="14" t="str">
        <f t="shared" si="87"/>
        <v>Empl_669</v>
      </c>
      <c r="C671" s="14" t="s">
        <v>13</v>
      </c>
      <c r="D671" s="14">
        <v>26000</v>
      </c>
      <c r="E671" s="14">
        <f t="shared" ca="1" si="94"/>
        <v>30</v>
      </c>
      <c r="F671" s="14">
        <v>26</v>
      </c>
      <c r="G671" s="14">
        <f t="shared" si="88"/>
        <v>4</v>
      </c>
      <c r="H671" s="15">
        <f t="shared" si="89"/>
        <v>1000</v>
      </c>
      <c r="I671" s="15">
        <f t="shared" si="90"/>
        <v>26000</v>
      </c>
      <c r="J671" s="14">
        <f t="shared" si="91"/>
        <v>3120</v>
      </c>
      <c r="K671" s="15">
        <f t="shared" si="92"/>
        <v>195</v>
      </c>
      <c r="L671" s="15">
        <f t="shared" si="93"/>
        <v>22685</v>
      </c>
      <c r="M671" s="14"/>
      <c r="N671" s="14"/>
    </row>
    <row r="672" ht="14.25">
      <c r="A672" s="14">
        <v>670</v>
      </c>
      <c r="B672" s="14" t="str">
        <f t="shared" si="87"/>
        <v>Empl_670</v>
      </c>
      <c r="C672" s="14" t="s">
        <v>9</v>
      </c>
      <c r="D672" s="14">
        <v>15000</v>
      </c>
      <c r="E672" s="14">
        <f t="shared" ca="1" si="94"/>
        <v>30</v>
      </c>
      <c r="F672" s="14">
        <v>30</v>
      </c>
      <c r="G672" s="14">
        <f t="shared" si="88"/>
        <v>0</v>
      </c>
      <c r="H672" s="15">
        <f t="shared" si="89"/>
        <v>500</v>
      </c>
      <c r="I672" s="15">
        <f t="shared" si="90"/>
        <v>15000</v>
      </c>
      <c r="J672" s="14">
        <f t="shared" si="91"/>
        <v>1800</v>
      </c>
      <c r="K672" s="15">
        <f t="shared" si="92"/>
        <v>112.5</v>
      </c>
      <c r="L672" s="15">
        <f t="shared" si="93"/>
        <v>13087.5</v>
      </c>
      <c r="M672" s="14"/>
      <c r="N672" s="14"/>
    </row>
    <row r="673" ht="14.25">
      <c r="A673" s="14">
        <v>671</v>
      </c>
      <c r="B673" s="14" t="str">
        <f t="shared" si="87"/>
        <v>Empl_671</v>
      </c>
      <c r="C673" s="14" t="s">
        <v>11</v>
      </c>
      <c r="D673" s="14">
        <v>19000</v>
      </c>
      <c r="E673" s="14">
        <f t="shared" ca="1" si="94"/>
        <v>30</v>
      </c>
      <c r="F673" s="14">
        <v>20</v>
      </c>
      <c r="G673" s="14">
        <f t="shared" si="88"/>
        <v>10</v>
      </c>
      <c r="H673" s="15">
        <f t="shared" si="89"/>
        <v>950</v>
      </c>
      <c r="I673" s="15">
        <f t="shared" si="90"/>
        <v>19000</v>
      </c>
      <c r="J673" s="14">
        <f t="shared" si="91"/>
        <v>2280</v>
      </c>
      <c r="K673" s="15">
        <f t="shared" si="92"/>
        <v>142.5</v>
      </c>
      <c r="L673" s="15">
        <f t="shared" si="93"/>
        <v>16577.5</v>
      </c>
      <c r="M673" s="14"/>
      <c r="N673" s="14"/>
    </row>
    <row r="674" ht="14.25">
      <c r="A674" s="14">
        <v>672</v>
      </c>
      <c r="B674" s="14" t="str">
        <f t="shared" si="87"/>
        <v>Empl_672</v>
      </c>
      <c r="C674" s="14" t="s">
        <v>8</v>
      </c>
      <c r="D674" s="14">
        <v>25000</v>
      </c>
      <c r="E674" s="14">
        <f t="shared" ca="1" si="94"/>
        <v>30</v>
      </c>
      <c r="F674" s="14">
        <v>21</v>
      </c>
      <c r="G674" s="14">
        <f t="shared" si="88"/>
        <v>9</v>
      </c>
      <c r="H674" s="15">
        <f t="shared" si="89"/>
        <v>1190.4761904761904</v>
      </c>
      <c r="I674" s="15">
        <f t="shared" si="90"/>
        <v>24999.999999999996</v>
      </c>
      <c r="J674" s="14">
        <f t="shared" si="91"/>
        <v>2999.9999999999995</v>
      </c>
      <c r="K674" s="15">
        <f t="shared" si="92"/>
        <v>187.49999999999997</v>
      </c>
      <c r="L674" s="15">
        <f t="shared" si="93"/>
        <v>21812.499999999996</v>
      </c>
      <c r="M674" s="14"/>
      <c r="N674" s="14"/>
    </row>
    <row r="675" ht="14.25">
      <c r="A675" s="14">
        <v>673</v>
      </c>
      <c r="B675" s="14" t="str">
        <f t="shared" si="87"/>
        <v>Empl_673</v>
      </c>
      <c r="C675" s="14" t="s">
        <v>12</v>
      </c>
      <c r="D675" s="14">
        <v>60000</v>
      </c>
      <c r="E675" s="14">
        <f t="shared" ca="1" si="94"/>
        <v>30</v>
      </c>
      <c r="F675" s="14">
        <v>20</v>
      </c>
      <c r="G675" s="14">
        <f t="shared" si="88"/>
        <v>10</v>
      </c>
      <c r="H675" s="15">
        <f t="shared" si="89"/>
        <v>3000</v>
      </c>
      <c r="I675" s="15">
        <f t="shared" si="90"/>
        <v>60000</v>
      </c>
      <c r="J675" s="14">
        <f t="shared" si="91"/>
        <v>7200</v>
      </c>
      <c r="K675" s="15">
        <f t="shared" si="92"/>
        <v>450</v>
      </c>
      <c r="L675" s="15">
        <f t="shared" si="93"/>
        <v>52350</v>
      </c>
      <c r="M675" s="14"/>
      <c r="N675" s="14"/>
    </row>
    <row r="676" ht="14.25">
      <c r="A676" s="14">
        <v>674</v>
      </c>
      <c r="B676" s="14" t="str">
        <f t="shared" ref="B676:B739" si="95">"Empl_"&amp;A676</f>
        <v>Empl_674</v>
      </c>
      <c r="C676" s="14" t="s">
        <v>10</v>
      </c>
      <c r="D676" s="14">
        <v>52000</v>
      </c>
      <c r="E676" s="14">
        <f t="shared" ca="1" si="94"/>
        <v>30</v>
      </c>
      <c r="F676" s="14">
        <v>29</v>
      </c>
      <c r="G676" s="14">
        <f t="shared" ref="G676:G739" si="96">E676-F676</f>
        <v>1</v>
      </c>
      <c r="H676" s="15">
        <f t="shared" ref="H676:H739" si="97">D676/F676</f>
        <v>1793.1034482758621</v>
      </c>
      <c r="I676" s="15">
        <f t="shared" ref="I676:I739" si="98">H676*F676</f>
        <v>52000</v>
      </c>
      <c r="J676" s="14">
        <f t="shared" ref="J676:J739" si="99">I676*12%</f>
        <v>6240</v>
      </c>
      <c r="K676" s="15">
        <f t="shared" ref="K676:K739" si="100">I676*0.75%</f>
        <v>390</v>
      </c>
      <c r="L676" s="15">
        <f t="shared" ref="L676:L739" si="101">I676-(J676+K676)</f>
        <v>45370</v>
      </c>
      <c r="M676" s="14"/>
      <c r="N676" s="14"/>
    </row>
    <row r="677" ht="14.25">
      <c r="A677" s="14">
        <v>675</v>
      </c>
      <c r="B677" s="14" t="str">
        <f t="shared" si="95"/>
        <v>Empl_675</v>
      </c>
      <c r="C677" s="14" t="s">
        <v>13</v>
      </c>
      <c r="D677" s="14">
        <v>33000</v>
      </c>
      <c r="E677" s="14">
        <f t="shared" ca="1" si="94"/>
        <v>30</v>
      </c>
      <c r="F677" s="14">
        <v>29</v>
      </c>
      <c r="G677" s="14">
        <f t="shared" si="96"/>
        <v>1</v>
      </c>
      <c r="H677" s="15">
        <f t="shared" si="97"/>
        <v>1137.9310344827586</v>
      </c>
      <c r="I677" s="15">
        <f t="shared" si="98"/>
        <v>33000</v>
      </c>
      <c r="J677" s="14">
        <f t="shared" si="99"/>
        <v>3960</v>
      </c>
      <c r="K677" s="15">
        <f t="shared" si="100"/>
        <v>247.5</v>
      </c>
      <c r="L677" s="15">
        <f t="shared" si="101"/>
        <v>28792.5</v>
      </c>
      <c r="M677" s="14"/>
      <c r="N677" s="14"/>
    </row>
    <row r="678" ht="14.25">
      <c r="A678" s="14">
        <v>676</v>
      </c>
      <c r="B678" s="14" t="str">
        <f t="shared" si="95"/>
        <v>Empl_676</v>
      </c>
      <c r="C678" s="14" t="s">
        <v>9</v>
      </c>
      <c r="D678" s="14">
        <v>37000</v>
      </c>
      <c r="E678" s="14">
        <f t="shared" ca="1" si="94"/>
        <v>30</v>
      </c>
      <c r="F678" s="14">
        <v>23</v>
      </c>
      <c r="G678" s="14">
        <f t="shared" si="96"/>
        <v>7</v>
      </c>
      <c r="H678" s="15">
        <f t="shared" si="97"/>
        <v>1608.695652173913</v>
      </c>
      <c r="I678" s="15">
        <f t="shared" si="98"/>
        <v>37000</v>
      </c>
      <c r="J678" s="14">
        <f t="shared" si="99"/>
        <v>4440</v>
      </c>
      <c r="K678" s="15">
        <f t="shared" si="100"/>
        <v>277.5</v>
      </c>
      <c r="L678" s="15">
        <f t="shared" si="101"/>
        <v>32282.5</v>
      </c>
      <c r="M678" s="14"/>
      <c r="N678" s="14"/>
    </row>
    <row r="679" ht="14.25">
      <c r="A679" s="14">
        <v>677</v>
      </c>
      <c r="B679" s="14" t="str">
        <f t="shared" si="95"/>
        <v>Empl_677</v>
      </c>
      <c r="C679" s="14" t="s">
        <v>11</v>
      </c>
      <c r="D679" s="14">
        <v>26000</v>
      </c>
      <c r="E679" s="14">
        <f t="shared" ca="1" si="94"/>
        <v>30</v>
      </c>
      <c r="F679" s="14">
        <v>30</v>
      </c>
      <c r="G679" s="14">
        <f t="shared" si="96"/>
        <v>0</v>
      </c>
      <c r="H679" s="15">
        <f t="shared" si="97"/>
        <v>866.66666666666663</v>
      </c>
      <c r="I679" s="15">
        <f t="shared" si="98"/>
        <v>26000</v>
      </c>
      <c r="J679" s="14">
        <f t="shared" si="99"/>
        <v>3120</v>
      </c>
      <c r="K679" s="15">
        <f t="shared" si="100"/>
        <v>195</v>
      </c>
      <c r="L679" s="15">
        <f t="shared" si="101"/>
        <v>22685</v>
      </c>
      <c r="M679" s="14"/>
      <c r="N679" s="14"/>
    </row>
    <row r="680" ht="14.25">
      <c r="A680" s="14">
        <v>678</v>
      </c>
      <c r="B680" s="14" t="str">
        <f t="shared" si="95"/>
        <v>Empl_678</v>
      </c>
      <c r="C680" s="14" t="s">
        <v>8</v>
      </c>
      <c r="D680" s="14">
        <v>25000</v>
      </c>
      <c r="E680" s="14">
        <f t="shared" ca="1" si="94"/>
        <v>30</v>
      </c>
      <c r="F680" s="14">
        <v>20</v>
      </c>
      <c r="G680" s="14">
        <f t="shared" si="96"/>
        <v>10</v>
      </c>
      <c r="H680" s="15">
        <f t="shared" si="97"/>
        <v>1250</v>
      </c>
      <c r="I680" s="15">
        <f t="shared" si="98"/>
        <v>25000</v>
      </c>
      <c r="J680" s="14">
        <f t="shared" si="99"/>
        <v>3000</v>
      </c>
      <c r="K680" s="15">
        <f t="shared" si="100"/>
        <v>187.5</v>
      </c>
      <c r="L680" s="15">
        <f t="shared" si="101"/>
        <v>21812.5</v>
      </c>
      <c r="M680" s="14"/>
      <c r="N680" s="14"/>
    </row>
    <row r="681" ht="14.25">
      <c r="A681" s="14">
        <v>679</v>
      </c>
      <c r="B681" s="14" t="str">
        <f t="shared" si="95"/>
        <v>Empl_679</v>
      </c>
      <c r="C681" s="14" t="s">
        <v>12</v>
      </c>
      <c r="D681" s="14">
        <v>24000</v>
      </c>
      <c r="E681" s="14">
        <f t="shared" ca="1" si="94"/>
        <v>30</v>
      </c>
      <c r="F681" s="14">
        <v>23</v>
      </c>
      <c r="G681" s="14">
        <f t="shared" si="96"/>
        <v>7</v>
      </c>
      <c r="H681" s="15">
        <f t="shared" si="97"/>
        <v>1043.4782608695652</v>
      </c>
      <c r="I681" s="15">
        <f t="shared" si="98"/>
        <v>24000</v>
      </c>
      <c r="J681" s="14">
        <f t="shared" si="99"/>
        <v>2880</v>
      </c>
      <c r="K681" s="15">
        <f t="shared" si="100"/>
        <v>180</v>
      </c>
      <c r="L681" s="15">
        <f t="shared" si="101"/>
        <v>20940</v>
      </c>
      <c r="M681" s="14"/>
      <c r="N681" s="14"/>
    </row>
    <row r="682" ht="14.25">
      <c r="A682" s="14">
        <v>680</v>
      </c>
      <c r="B682" s="14" t="str">
        <f t="shared" si="95"/>
        <v>Empl_680</v>
      </c>
      <c r="C682" s="14" t="s">
        <v>10</v>
      </c>
      <c r="D682" s="14">
        <v>54000</v>
      </c>
      <c r="E682" s="14">
        <f t="shared" ca="1" si="94"/>
        <v>30</v>
      </c>
      <c r="F682" s="14">
        <v>21</v>
      </c>
      <c r="G682" s="14">
        <f t="shared" si="96"/>
        <v>9</v>
      </c>
      <c r="H682" s="15">
        <f t="shared" si="97"/>
        <v>2571.4285714285716</v>
      </c>
      <c r="I682" s="15">
        <f t="shared" si="98"/>
        <v>54000</v>
      </c>
      <c r="J682" s="14">
        <f t="shared" si="99"/>
        <v>6480</v>
      </c>
      <c r="K682" s="15">
        <f t="shared" si="100"/>
        <v>405</v>
      </c>
      <c r="L682" s="15">
        <f t="shared" si="101"/>
        <v>47115</v>
      </c>
      <c r="M682" s="14"/>
      <c r="N682" s="14"/>
    </row>
    <row r="683" ht="14.25">
      <c r="A683" s="14">
        <v>681</v>
      </c>
      <c r="B683" s="14" t="str">
        <f t="shared" si="95"/>
        <v>Empl_681</v>
      </c>
      <c r="C683" s="14" t="s">
        <v>13</v>
      </c>
      <c r="D683" s="14">
        <v>25000</v>
      </c>
      <c r="E683" s="14">
        <f t="shared" ca="1" si="94"/>
        <v>30</v>
      </c>
      <c r="F683" s="14">
        <v>30</v>
      </c>
      <c r="G683" s="14">
        <f t="shared" si="96"/>
        <v>0</v>
      </c>
      <c r="H683" s="15">
        <f t="shared" si="97"/>
        <v>833.33333333333337</v>
      </c>
      <c r="I683" s="15">
        <f t="shared" si="98"/>
        <v>25000</v>
      </c>
      <c r="J683" s="14">
        <f t="shared" si="99"/>
        <v>3000</v>
      </c>
      <c r="K683" s="15">
        <f t="shared" si="100"/>
        <v>187.5</v>
      </c>
      <c r="L683" s="15">
        <f t="shared" si="101"/>
        <v>21812.5</v>
      </c>
      <c r="M683" s="14"/>
      <c r="N683" s="14"/>
    </row>
    <row r="684" ht="14.25">
      <c r="A684" s="14">
        <v>682</v>
      </c>
      <c r="B684" s="14" t="str">
        <f t="shared" si="95"/>
        <v>Empl_682</v>
      </c>
      <c r="C684" s="14" t="s">
        <v>9</v>
      </c>
      <c r="D684" s="14">
        <v>46000</v>
      </c>
      <c r="E684" s="14">
        <f t="shared" ca="1" si="94"/>
        <v>30</v>
      </c>
      <c r="F684" s="14">
        <v>28</v>
      </c>
      <c r="G684" s="14">
        <f t="shared" si="96"/>
        <v>2</v>
      </c>
      <c r="H684" s="15">
        <f t="shared" si="97"/>
        <v>1642.8571428571429</v>
      </c>
      <c r="I684" s="15">
        <f t="shared" si="98"/>
        <v>46000</v>
      </c>
      <c r="J684" s="14">
        <f t="shared" si="99"/>
        <v>5520</v>
      </c>
      <c r="K684" s="15">
        <f t="shared" si="100"/>
        <v>345</v>
      </c>
      <c r="L684" s="15">
        <f t="shared" si="101"/>
        <v>40135</v>
      </c>
      <c r="M684" s="14"/>
      <c r="N684" s="14"/>
    </row>
    <row r="685" ht="14.25">
      <c r="A685" s="14">
        <v>683</v>
      </c>
      <c r="B685" s="14" t="str">
        <f t="shared" si="95"/>
        <v>Empl_683</v>
      </c>
      <c r="C685" s="14" t="s">
        <v>11</v>
      </c>
      <c r="D685" s="14">
        <v>18000</v>
      </c>
      <c r="E685" s="14">
        <f t="shared" ca="1" si="94"/>
        <v>30</v>
      </c>
      <c r="F685" s="14">
        <v>24</v>
      </c>
      <c r="G685" s="14">
        <f t="shared" si="96"/>
        <v>6</v>
      </c>
      <c r="H685" s="15">
        <f t="shared" si="97"/>
        <v>750</v>
      </c>
      <c r="I685" s="15">
        <f t="shared" si="98"/>
        <v>18000</v>
      </c>
      <c r="J685" s="14">
        <f t="shared" si="99"/>
        <v>2160</v>
      </c>
      <c r="K685" s="15">
        <f t="shared" si="100"/>
        <v>135</v>
      </c>
      <c r="L685" s="15">
        <f t="shared" si="101"/>
        <v>15705</v>
      </c>
      <c r="M685" s="14"/>
      <c r="N685" s="14"/>
    </row>
    <row r="686" ht="14.25">
      <c r="A686" s="14">
        <v>684</v>
      </c>
      <c r="B686" s="14" t="str">
        <f t="shared" si="95"/>
        <v>Empl_684</v>
      </c>
      <c r="C686" s="14" t="s">
        <v>8</v>
      </c>
      <c r="D686" s="14">
        <v>47000</v>
      </c>
      <c r="E686" s="14">
        <f t="shared" ca="1" si="94"/>
        <v>30</v>
      </c>
      <c r="F686" s="14">
        <v>28</v>
      </c>
      <c r="G686" s="14">
        <f t="shared" si="96"/>
        <v>2</v>
      </c>
      <c r="H686" s="15">
        <f t="shared" si="97"/>
        <v>1678.5714285714287</v>
      </c>
      <c r="I686" s="15">
        <f t="shared" si="98"/>
        <v>47000</v>
      </c>
      <c r="J686" s="14">
        <f t="shared" si="99"/>
        <v>5640</v>
      </c>
      <c r="K686" s="15">
        <f t="shared" si="100"/>
        <v>352.5</v>
      </c>
      <c r="L686" s="15">
        <f t="shared" si="101"/>
        <v>41007.5</v>
      </c>
      <c r="M686" s="14"/>
      <c r="N686" s="14"/>
    </row>
    <row r="687" ht="14.25">
      <c r="A687" s="14">
        <v>685</v>
      </c>
      <c r="B687" s="14" t="str">
        <f t="shared" si="95"/>
        <v>Empl_685</v>
      </c>
      <c r="C687" s="14" t="s">
        <v>12</v>
      </c>
      <c r="D687" s="14">
        <v>37000</v>
      </c>
      <c r="E687" s="14">
        <f t="shared" ca="1" si="94"/>
        <v>30</v>
      </c>
      <c r="F687" s="14">
        <v>25</v>
      </c>
      <c r="G687" s="14">
        <f t="shared" si="96"/>
        <v>5</v>
      </c>
      <c r="H687" s="15">
        <f t="shared" si="97"/>
        <v>1480</v>
      </c>
      <c r="I687" s="15">
        <f t="shared" si="98"/>
        <v>37000</v>
      </c>
      <c r="J687" s="14">
        <f t="shared" si="99"/>
        <v>4440</v>
      </c>
      <c r="K687" s="15">
        <f t="shared" si="100"/>
        <v>277.5</v>
      </c>
      <c r="L687" s="15">
        <f t="shared" si="101"/>
        <v>32282.5</v>
      </c>
      <c r="M687" s="14"/>
      <c r="N687" s="14"/>
    </row>
    <row r="688" ht="14.25">
      <c r="A688" s="14">
        <v>686</v>
      </c>
      <c r="B688" s="14" t="str">
        <f t="shared" si="95"/>
        <v>Empl_686</v>
      </c>
      <c r="C688" s="14" t="s">
        <v>10</v>
      </c>
      <c r="D688" s="14">
        <v>57000</v>
      </c>
      <c r="E688" s="14">
        <f t="shared" ca="1" si="94"/>
        <v>30</v>
      </c>
      <c r="F688" s="14">
        <v>28</v>
      </c>
      <c r="G688" s="14">
        <f t="shared" si="96"/>
        <v>2</v>
      </c>
      <c r="H688" s="15">
        <f t="shared" si="97"/>
        <v>2035.7142857142858</v>
      </c>
      <c r="I688" s="15">
        <f t="shared" si="98"/>
        <v>57000</v>
      </c>
      <c r="J688" s="14">
        <f t="shared" si="99"/>
        <v>6840</v>
      </c>
      <c r="K688" s="15">
        <f t="shared" si="100"/>
        <v>427.5</v>
      </c>
      <c r="L688" s="15">
        <f t="shared" si="101"/>
        <v>49732.5</v>
      </c>
      <c r="M688" s="14"/>
      <c r="N688" s="14"/>
    </row>
    <row r="689" ht="14.25">
      <c r="A689" s="14">
        <v>687</v>
      </c>
      <c r="B689" s="14" t="str">
        <f t="shared" si="95"/>
        <v>Empl_687</v>
      </c>
      <c r="C689" s="14" t="s">
        <v>13</v>
      </c>
      <c r="D689" s="14">
        <v>56000</v>
      </c>
      <c r="E689" s="14">
        <f t="shared" ca="1" si="94"/>
        <v>30</v>
      </c>
      <c r="F689" s="14">
        <v>30</v>
      </c>
      <c r="G689" s="14">
        <f t="shared" si="96"/>
        <v>0</v>
      </c>
      <c r="H689" s="15">
        <f t="shared" si="97"/>
        <v>1866.6666666666667</v>
      </c>
      <c r="I689" s="15">
        <f t="shared" si="98"/>
        <v>56000</v>
      </c>
      <c r="J689" s="14">
        <f t="shared" si="99"/>
        <v>6720</v>
      </c>
      <c r="K689" s="15">
        <f t="shared" si="100"/>
        <v>420</v>
      </c>
      <c r="L689" s="15">
        <f t="shared" si="101"/>
        <v>48860</v>
      </c>
      <c r="M689" s="14"/>
      <c r="N689" s="14"/>
    </row>
    <row r="690" ht="14.25">
      <c r="A690" s="14">
        <v>688</v>
      </c>
      <c r="B690" s="14" t="str">
        <f t="shared" si="95"/>
        <v>Empl_688</v>
      </c>
      <c r="C690" s="14" t="s">
        <v>9</v>
      </c>
      <c r="D690" s="14">
        <v>37000</v>
      </c>
      <c r="E690" s="14">
        <f t="shared" ca="1" si="94"/>
        <v>30</v>
      </c>
      <c r="F690" s="14">
        <v>26</v>
      </c>
      <c r="G690" s="14">
        <f t="shared" si="96"/>
        <v>4</v>
      </c>
      <c r="H690" s="15">
        <f t="shared" si="97"/>
        <v>1423.0769230769231</v>
      </c>
      <c r="I690" s="15">
        <f t="shared" si="98"/>
        <v>37000</v>
      </c>
      <c r="J690" s="14">
        <f t="shared" si="99"/>
        <v>4440</v>
      </c>
      <c r="K690" s="15">
        <f t="shared" si="100"/>
        <v>277.5</v>
      </c>
      <c r="L690" s="15">
        <f t="shared" si="101"/>
        <v>32282.5</v>
      </c>
      <c r="M690" s="14"/>
      <c r="N690" s="14"/>
    </row>
    <row r="691" ht="14.25">
      <c r="A691" s="14">
        <v>689</v>
      </c>
      <c r="B691" s="14" t="str">
        <f t="shared" si="95"/>
        <v>Empl_689</v>
      </c>
      <c r="C691" s="14" t="s">
        <v>11</v>
      </c>
      <c r="D691" s="14">
        <v>38000</v>
      </c>
      <c r="E691" s="14">
        <f t="shared" ca="1" si="94"/>
        <v>30</v>
      </c>
      <c r="F691" s="14">
        <v>27</v>
      </c>
      <c r="G691" s="14">
        <f t="shared" si="96"/>
        <v>3</v>
      </c>
      <c r="H691" s="15">
        <f t="shared" si="97"/>
        <v>1407.4074074074074</v>
      </c>
      <c r="I691" s="15">
        <f t="shared" si="98"/>
        <v>38000</v>
      </c>
      <c r="J691" s="14">
        <f t="shared" si="99"/>
        <v>4560</v>
      </c>
      <c r="K691" s="15">
        <f t="shared" si="100"/>
        <v>285</v>
      </c>
      <c r="L691" s="15">
        <f t="shared" si="101"/>
        <v>33155</v>
      </c>
      <c r="M691" s="14"/>
      <c r="N691" s="14"/>
    </row>
    <row r="692" ht="14.25">
      <c r="A692" s="14">
        <v>690</v>
      </c>
      <c r="B692" s="14" t="str">
        <f t="shared" si="95"/>
        <v>Empl_690</v>
      </c>
      <c r="C692" s="14" t="s">
        <v>8</v>
      </c>
      <c r="D692" s="14">
        <v>20000</v>
      </c>
      <c r="E692" s="14">
        <f t="shared" ca="1" si="94"/>
        <v>30</v>
      </c>
      <c r="F692" s="14">
        <v>23</v>
      </c>
      <c r="G692" s="14">
        <f t="shared" si="96"/>
        <v>7</v>
      </c>
      <c r="H692" s="15">
        <f t="shared" si="97"/>
        <v>869.56521739130437</v>
      </c>
      <c r="I692" s="15">
        <f t="shared" si="98"/>
        <v>20000</v>
      </c>
      <c r="J692" s="14">
        <f t="shared" si="99"/>
        <v>2400</v>
      </c>
      <c r="K692" s="15">
        <f t="shared" si="100"/>
        <v>150</v>
      </c>
      <c r="L692" s="15">
        <f t="shared" si="101"/>
        <v>17450</v>
      </c>
      <c r="M692" s="14"/>
      <c r="N692" s="14"/>
    </row>
    <row r="693" ht="14.25">
      <c r="A693" s="14">
        <v>691</v>
      </c>
      <c r="B693" s="14" t="str">
        <f t="shared" si="95"/>
        <v>Empl_691</v>
      </c>
      <c r="C693" s="14" t="s">
        <v>12</v>
      </c>
      <c r="D693" s="14">
        <v>50000</v>
      </c>
      <c r="E693" s="14">
        <f t="shared" ca="1" si="94"/>
        <v>30</v>
      </c>
      <c r="F693" s="14">
        <v>23</v>
      </c>
      <c r="G693" s="14">
        <f t="shared" si="96"/>
        <v>7</v>
      </c>
      <c r="H693" s="15">
        <f t="shared" si="97"/>
        <v>2173.913043478261</v>
      </c>
      <c r="I693" s="15">
        <f t="shared" si="98"/>
        <v>50000</v>
      </c>
      <c r="J693" s="14">
        <f t="shared" si="99"/>
        <v>6000</v>
      </c>
      <c r="K693" s="15">
        <f t="shared" si="100"/>
        <v>375</v>
      </c>
      <c r="L693" s="15">
        <f t="shared" si="101"/>
        <v>43625</v>
      </c>
      <c r="M693" s="14"/>
      <c r="N693" s="14"/>
    </row>
    <row r="694" ht="14.25">
      <c r="A694" s="14">
        <v>692</v>
      </c>
      <c r="B694" s="14" t="str">
        <f t="shared" si="95"/>
        <v>Empl_692</v>
      </c>
      <c r="C694" s="14" t="s">
        <v>10</v>
      </c>
      <c r="D694" s="14">
        <v>41000</v>
      </c>
      <c r="E694" s="14">
        <f t="shared" ca="1" si="94"/>
        <v>30</v>
      </c>
      <c r="F694" s="14">
        <v>22</v>
      </c>
      <c r="G694" s="14">
        <f t="shared" si="96"/>
        <v>8</v>
      </c>
      <c r="H694" s="15">
        <f t="shared" si="97"/>
        <v>1863.6363636363637</v>
      </c>
      <c r="I694" s="15">
        <f t="shared" si="98"/>
        <v>41000</v>
      </c>
      <c r="J694" s="14">
        <f t="shared" si="99"/>
        <v>4920</v>
      </c>
      <c r="K694" s="15">
        <f t="shared" si="100"/>
        <v>307.5</v>
      </c>
      <c r="L694" s="15">
        <f t="shared" si="101"/>
        <v>35772.5</v>
      </c>
      <c r="M694" s="14"/>
      <c r="N694" s="14"/>
    </row>
    <row r="695" ht="14.25">
      <c r="A695" s="14">
        <v>693</v>
      </c>
      <c r="B695" s="14" t="str">
        <f t="shared" si="95"/>
        <v>Empl_693</v>
      </c>
      <c r="C695" s="14" t="s">
        <v>13</v>
      </c>
      <c r="D695" s="14">
        <v>42000</v>
      </c>
      <c r="E695" s="14">
        <f t="shared" ca="1" si="94"/>
        <v>30</v>
      </c>
      <c r="F695" s="14">
        <v>20</v>
      </c>
      <c r="G695" s="14">
        <f t="shared" si="96"/>
        <v>10</v>
      </c>
      <c r="H695" s="15">
        <f t="shared" si="97"/>
        <v>2100</v>
      </c>
      <c r="I695" s="15">
        <f t="shared" si="98"/>
        <v>42000</v>
      </c>
      <c r="J695" s="14">
        <f t="shared" si="99"/>
        <v>5040</v>
      </c>
      <c r="K695" s="15">
        <f t="shared" si="100"/>
        <v>315</v>
      </c>
      <c r="L695" s="15">
        <f t="shared" si="101"/>
        <v>36645</v>
      </c>
      <c r="M695" s="14"/>
      <c r="N695" s="14"/>
    </row>
    <row r="696" ht="14.25">
      <c r="A696" s="14">
        <v>694</v>
      </c>
      <c r="B696" s="14" t="str">
        <f t="shared" si="95"/>
        <v>Empl_694</v>
      </c>
      <c r="C696" s="14" t="s">
        <v>9</v>
      </c>
      <c r="D696" s="14">
        <v>57000</v>
      </c>
      <c r="E696" s="14">
        <f t="shared" ca="1" si="94"/>
        <v>30</v>
      </c>
      <c r="F696" s="14">
        <v>30</v>
      </c>
      <c r="G696" s="14">
        <f t="shared" si="96"/>
        <v>0</v>
      </c>
      <c r="H696" s="15">
        <f t="shared" si="97"/>
        <v>1900</v>
      </c>
      <c r="I696" s="15">
        <f t="shared" si="98"/>
        <v>57000</v>
      </c>
      <c r="J696" s="14">
        <f t="shared" si="99"/>
        <v>6840</v>
      </c>
      <c r="K696" s="15">
        <f t="shared" si="100"/>
        <v>427.5</v>
      </c>
      <c r="L696" s="15">
        <f t="shared" si="101"/>
        <v>49732.5</v>
      </c>
      <c r="M696" s="14"/>
      <c r="N696" s="14"/>
    </row>
    <row r="697" ht="14.25">
      <c r="A697" s="14">
        <v>695</v>
      </c>
      <c r="B697" s="14" t="str">
        <f t="shared" si="95"/>
        <v>Empl_695</v>
      </c>
      <c r="C697" s="14" t="s">
        <v>11</v>
      </c>
      <c r="D697" s="14">
        <v>27000</v>
      </c>
      <c r="E697" s="14">
        <f t="shared" ca="1" si="94"/>
        <v>30</v>
      </c>
      <c r="F697" s="14">
        <v>22</v>
      </c>
      <c r="G697" s="14">
        <f t="shared" si="96"/>
        <v>8</v>
      </c>
      <c r="H697" s="15">
        <f t="shared" si="97"/>
        <v>1227.2727272727273</v>
      </c>
      <c r="I697" s="15">
        <f t="shared" si="98"/>
        <v>27000</v>
      </c>
      <c r="J697" s="14">
        <f t="shared" si="99"/>
        <v>3240</v>
      </c>
      <c r="K697" s="15">
        <f t="shared" si="100"/>
        <v>202.5</v>
      </c>
      <c r="L697" s="15">
        <f t="shared" si="101"/>
        <v>23557.5</v>
      </c>
      <c r="M697" s="14"/>
      <c r="N697" s="14"/>
    </row>
    <row r="698" ht="14.25">
      <c r="A698" s="14">
        <v>696</v>
      </c>
      <c r="B698" s="14" t="str">
        <f t="shared" si="95"/>
        <v>Empl_696</v>
      </c>
      <c r="C698" s="14" t="s">
        <v>8</v>
      </c>
      <c r="D698" s="14">
        <v>40000</v>
      </c>
      <c r="E698" s="14">
        <f t="shared" ca="1" si="94"/>
        <v>30</v>
      </c>
      <c r="F698" s="14">
        <v>24</v>
      </c>
      <c r="G698" s="14">
        <f t="shared" si="96"/>
        <v>6</v>
      </c>
      <c r="H698" s="15">
        <f t="shared" si="97"/>
        <v>1666.6666666666667</v>
      </c>
      <c r="I698" s="15">
        <f t="shared" si="98"/>
        <v>40000</v>
      </c>
      <c r="J698" s="14">
        <f t="shared" si="99"/>
        <v>4800</v>
      </c>
      <c r="K698" s="15">
        <f t="shared" si="100"/>
        <v>300</v>
      </c>
      <c r="L698" s="15">
        <f t="shared" si="101"/>
        <v>34900</v>
      </c>
      <c r="M698" s="14"/>
      <c r="N698" s="14"/>
    </row>
    <row r="699" ht="14.25">
      <c r="A699" s="14">
        <v>697</v>
      </c>
      <c r="B699" s="14" t="str">
        <f t="shared" si="95"/>
        <v>Empl_697</v>
      </c>
      <c r="C699" s="14" t="s">
        <v>12</v>
      </c>
      <c r="D699" s="14">
        <v>24000</v>
      </c>
      <c r="E699" s="14">
        <f t="shared" ca="1" si="94"/>
        <v>30</v>
      </c>
      <c r="F699" s="14">
        <v>29</v>
      </c>
      <c r="G699" s="14">
        <f t="shared" si="96"/>
        <v>1</v>
      </c>
      <c r="H699" s="15">
        <f t="shared" si="97"/>
        <v>827.58620689655174</v>
      </c>
      <c r="I699" s="15">
        <f t="shared" si="98"/>
        <v>24000</v>
      </c>
      <c r="J699" s="14">
        <f t="shared" si="99"/>
        <v>2880</v>
      </c>
      <c r="K699" s="15">
        <f t="shared" si="100"/>
        <v>180</v>
      </c>
      <c r="L699" s="15">
        <f t="shared" si="101"/>
        <v>20940</v>
      </c>
      <c r="M699" s="14"/>
      <c r="N699" s="14"/>
    </row>
    <row r="700" ht="14.25">
      <c r="A700" s="14">
        <v>698</v>
      </c>
      <c r="B700" s="14" t="str">
        <f t="shared" si="95"/>
        <v>Empl_698</v>
      </c>
      <c r="C700" s="14" t="s">
        <v>10</v>
      </c>
      <c r="D700" s="14">
        <v>29000</v>
      </c>
      <c r="E700" s="14">
        <f t="shared" ca="1" si="94"/>
        <v>30</v>
      </c>
      <c r="F700" s="14">
        <v>22</v>
      </c>
      <c r="G700" s="14">
        <f t="shared" si="96"/>
        <v>8</v>
      </c>
      <c r="H700" s="15">
        <f t="shared" si="97"/>
        <v>1318.1818181818182</v>
      </c>
      <c r="I700" s="15">
        <f t="shared" si="98"/>
        <v>29000</v>
      </c>
      <c r="J700" s="14">
        <f t="shared" si="99"/>
        <v>3480</v>
      </c>
      <c r="K700" s="15">
        <f t="shared" si="100"/>
        <v>217.5</v>
      </c>
      <c r="L700" s="15">
        <f t="shared" si="101"/>
        <v>25302.5</v>
      </c>
      <c r="M700" s="14"/>
      <c r="N700" s="14"/>
    </row>
    <row r="701" ht="14.25">
      <c r="A701" s="14">
        <v>699</v>
      </c>
      <c r="B701" s="14" t="str">
        <f t="shared" si="95"/>
        <v>Empl_699</v>
      </c>
      <c r="C701" s="14" t="s">
        <v>13</v>
      </c>
      <c r="D701" s="14">
        <v>55000</v>
      </c>
      <c r="E701" s="14">
        <f t="shared" ca="1" si="94"/>
        <v>30</v>
      </c>
      <c r="F701" s="14">
        <v>23</v>
      </c>
      <c r="G701" s="14">
        <f t="shared" si="96"/>
        <v>7</v>
      </c>
      <c r="H701" s="15">
        <f t="shared" si="97"/>
        <v>2391.304347826087</v>
      </c>
      <c r="I701" s="15">
        <f t="shared" si="98"/>
        <v>55000</v>
      </c>
      <c r="J701" s="14">
        <f t="shared" si="99"/>
        <v>6600</v>
      </c>
      <c r="K701" s="15">
        <f t="shared" si="100"/>
        <v>412.5</v>
      </c>
      <c r="L701" s="15">
        <f t="shared" si="101"/>
        <v>47987.5</v>
      </c>
      <c r="M701" s="14"/>
      <c r="N701" s="14"/>
    </row>
    <row r="702" ht="14.25">
      <c r="A702" s="14">
        <v>700</v>
      </c>
      <c r="B702" s="14" t="str">
        <f t="shared" si="95"/>
        <v>Empl_700</v>
      </c>
      <c r="C702" s="14" t="s">
        <v>9</v>
      </c>
      <c r="D702" s="14">
        <v>57000</v>
      </c>
      <c r="E702" s="14">
        <f t="shared" ca="1" si="94"/>
        <v>30</v>
      </c>
      <c r="F702" s="14">
        <v>26</v>
      </c>
      <c r="G702" s="14">
        <f t="shared" si="96"/>
        <v>4</v>
      </c>
      <c r="H702" s="15">
        <f t="shared" si="97"/>
        <v>2192.3076923076924</v>
      </c>
      <c r="I702" s="15">
        <f t="shared" si="98"/>
        <v>57000</v>
      </c>
      <c r="J702" s="14">
        <f t="shared" si="99"/>
        <v>6840</v>
      </c>
      <c r="K702" s="15">
        <f t="shared" si="100"/>
        <v>427.5</v>
      </c>
      <c r="L702" s="15">
        <f t="shared" si="101"/>
        <v>49732.5</v>
      </c>
      <c r="M702" s="14"/>
      <c r="N702" s="14"/>
    </row>
    <row r="703" ht="14.25">
      <c r="A703" s="14">
        <v>701</v>
      </c>
      <c r="B703" s="14" t="str">
        <f t="shared" si="95"/>
        <v>Empl_701</v>
      </c>
      <c r="C703" s="14" t="s">
        <v>11</v>
      </c>
      <c r="D703" s="14">
        <v>37000</v>
      </c>
      <c r="E703" s="14">
        <f t="shared" ca="1" si="94"/>
        <v>30</v>
      </c>
      <c r="F703" s="14">
        <v>27</v>
      </c>
      <c r="G703" s="14">
        <f t="shared" si="96"/>
        <v>3</v>
      </c>
      <c r="H703" s="15">
        <f t="shared" si="97"/>
        <v>1370.3703703703704</v>
      </c>
      <c r="I703" s="15">
        <f t="shared" si="98"/>
        <v>37000</v>
      </c>
      <c r="J703" s="14">
        <f t="shared" si="99"/>
        <v>4440</v>
      </c>
      <c r="K703" s="15">
        <f t="shared" si="100"/>
        <v>277.5</v>
      </c>
      <c r="L703" s="15">
        <f t="shared" si="101"/>
        <v>32282.5</v>
      </c>
      <c r="M703" s="14"/>
      <c r="N703" s="14"/>
    </row>
    <row r="704" ht="14.25">
      <c r="A704" s="14">
        <v>702</v>
      </c>
      <c r="B704" s="14" t="str">
        <f t="shared" si="95"/>
        <v>Empl_702</v>
      </c>
      <c r="C704" s="14" t="s">
        <v>8</v>
      </c>
      <c r="D704" s="14">
        <v>20000</v>
      </c>
      <c r="E704" s="14">
        <f t="shared" ca="1" si="94"/>
        <v>30</v>
      </c>
      <c r="F704" s="14">
        <v>27</v>
      </c>
      <c r="G704" s="14">
        <f t="shared" si="96"/>
        <v>3</v>
      </c>
      <c r="H704" s="15">
        <f t="shared" si="97"/>
        <v>740.74074074074076</v>
      </c>
      <c r="I704" s="15">
        <f t="shared" si="98"/>
        <v>20000</v>
      </c>
      <c r="J704" s="14">
        <f t="shared" si="99"/>
        <v>2400</v>
      </c>
      <c r="K704" s="15">
        <f t="shared" si="100"/>
        <v>150</v>
      </c>
      <c r="L704" s="15">
        <f t="shared" si="101"/>
        <v>17450</v>
      </c>
      <c r="M704" s="14"/>
      <c r="N704" s="14"/>
    </row>
    <row r="705" ht="14.25">
      <c r="A705" s="14">
        <v>703</v>
      </c>
      <c r="B705" s="14" t="str">
        <f t="shared" si="95"/>
        <v>Empl_703</v>
      </c>
      <c r="C705" s="14" t="s">
        <v>12</v>
      </c>
      <c r="D705" s="14">
        <v>22000</v>
      </c>
      <c r="E705" s="14">
        <f t="shared" ca="1" si="94"/>
        <v>30</v>
      </c>
      <c r="F705" s="14">
        <v>20</v>
      </c>
      <c r="G705" s="14">
        <f t="shared" si="96"/>
        <v>10</v>
      </c>
      <c r="H705" s="15">
        <f t="shared" si="97"/>
        <v>1100</v>
      </c>
      <c r="I705" s="15">
        <f t="shared" si="98"/>
        <v>22000</v>
      </c>
      <c r="J705" s="14">
        <f t="shared" si="99"/>
        <v>2640</v>
      </c>
      <c r="K705" s="15">
        <f t="shared" si="100"/>
        <v>165</v>
      </c>
      <c r="L705" s="15">
        <f t="shared" si="101"/>
        <v>19195</v>
      </c>
      <c r="M705" s="14"/>
      <c r="N705" s="14"/>
    </row>
    <row r="706" ht="14.25">
      <c r="A706" s="14">
        <v>704</v>
      </c>
      <c r="B706" s="14" t="str">
        <f t="shared" si="95"/>
        <v>Empl_704</v>
      </c>
      <c r="C706" s="14" t="s">
        <v>10</v>
      </c>
      <c r="D706" s="14">
        <v>22000</v>
      </c>
      <c r="E706" s="14">
        <f t="shared" ca="1" si="94"/>
        <v>30</v>
      </c>
      <c r="F706" s="14">
        <v>21</v>
      </c>
      <c r="G706" s="14">
        <f t="shared" si="96"/>
        <v>9</v>
      </c>
      <c r="H706" s="15">
        <f t="shared" si="97"/>
        <v>1047.6190476190477</v>
      </c>
      <c r="I706" s="15">
        <f t="shared" si="98"/>
        <v>22000</v>
      </c>
      <c r="J706" s="14">
        <f t="shared" si="99"/>
        <v>2640</v>
      </c>
      <c r="K706" s="15">
        <f t="shared" si="100"/>
        <v>165</v>
      </c>
      <c r="L706" s="15">
        <f t="shared" si="101"/>
        <v>19195</v>
      </c>
      <c r="M706" s="14"/>
      <c r="N706" s="14"/>
    </row>
    <row r="707" ht="14.25">
      <c r="A707" s="14">
        <v>705</v>
      </c>
      <c r="B707" s="14" t="str">
        <f t="shared" si="95"/>
        <v>Empl_705</v>
      </c>
      <c r="C707" s="14" t="s">
        <v>13</v>
      </c>
      <c r="D707" s="14">
        <v>26000</v>
      </c>
      <c r="E707" s="14">
        <f t="shared" ref="E707:E770" ca="1" si="102">DAY(EOMONTH(TODAY(),0))</f>
        <v>30</v>
      </c>
      <c r="F707" s="14">
        <v>25</v>
      </c>
      <c r="G707" s="14">
        <f t="shared" si="96"/>
        <v>5</v>
      </c>
      <c r="H707" s="15">
        <f t="shared" si="97"/>
        <v>1040</v>
      </c>
      <c r="I707" s="15">
        <f t="shared" si="98"/>
        <v>26000</v>
      </c>
      <c r="J707" s="14">
        <f t="shared" si="99"/>
        <v>3120</v>
      </c>
      <c r="K707" s="15">
        <f t="shared" si="100"/>
        <v>195</v>
      </c>
      <c r="L707" s="15">
        <f t="shared" si="101"/>
        <v>22685</v>
      </c>
      <c r="M707" s="14"/>
      <c r="N707" s="14"/>
    </row>
    <row r="708" ht="14.25">
      <c r="A708" s="14">
        <v>706</v>
      </c>
      <c r="B708" s="14" t="str">
        <f t="shared" si="95"/>
        <v>Empl_706</v>
      </c>
      <c r="C708" s="14" t="s">
        <v>9</v>
      </c>
      <c r="D708" s="14">
        <v>34000</v>
      </c>
      <c r="E708" s="14">
        <f t="shared" ca="1" si="102"/>
        <v>30</v>
      </c>
      <c r="F708" s="14">
        <v>22</v>
      </c>
      <c r="G708" s="14">
        <f t="shared" si="96"/>
        <v>8</v>
      </c>
      <c r="H708" s="15">
        <f t="shared" si="97"/>
        <v>1545.4545454545455</v>
      </c>
      <c r="I708" s="15">
        <f t="shared" si="98"/>
        <v>34000</v>
      </c>
      <c r="J708" s="14">
        <f t="shared" si="99"/>
        <v>4080</v>
      </c>
      <c r="K708" s="15">
        <f t="shared" si="100"/>
        <v>255</v>
      </c>
      <c r="L708" s="15">
        <f t="shared" si="101"/>
        <v>29665</v>
      </c>
      <c r="M708" s="14"/>
      <c r="N708" s="14"/>
    </row>
    <row r="709" ht="14.25">
      <c r="A709" s="14">
        <v>707</v>
      </c>
      <c r="B709" s="14" t="str">
        <f t="shared" si="95"/>
        <v>Empl_707</v>
      </c>
      <c r="C709" s="14" t="s">
        <v>11</v>
      </c>
      <c r="D709" s="14">
        <v>32000</v>
      </c>
      <c r="E709" s="14">
        <f t="shared" ca="1" si="102"/>
        <v>30</v>
      </c>
      <c r="F709" s="14">
        <v>25</v>
      </c>
      <c r="G709" s="14">
        <f t="shared" si="96"/>
        <v>5</v>
      </c>
      <c r="H709" s="15">
        <f t="shared" si="97"/>
        <v>1280</v>
      </c>
      <c r="I709" s="15">
        <f t="shared" si="98"/>
        <v>32000</v>
      </c>
      <c r="J709" s="14">
        <f t="shared" si="99"/>
        <v>3840</v>
      </c>
      <c r="K709" s="15">
        <f t="shared" si="100"/>
        <v>240</v>
      </c>
      <c r="L709" s="15">
        <f t="shared" si="101"/>
        <v>27920</v>
      </c>
      <c r="M709" s="14"/>
      <c r="N709" s="14"/>
    </row>
    <row r="710" ht="14.25">
      <c r="A710" s="14">
        <v>708</v>
      </c>
      <c r="B710" s="14" t="str">
        <f t="shared" si="95"/>
        <v>Empl_708</v>
      </c>
      <c r="C710" s="14" t="s">
        <v>8</v>
      </c>
      <c r="D710" s="14">
        <v>55000</v>
      </c>
      <c r="E710" s="14">
        <f t="shared" ca="1" si="102"/>
        <v>30</v>
      </c>
      <c r="F710" s="14">
        <v>28</v>
      </c>
      <c r="G710" s="14">
        <f t="shared" si="96"/>
        <v>2</v>
      </c>
      <c r="H710" s="15">
        <f t="shared" si="97"/>
        <v>1964.2857142857142</v>
      </c>
      <c r="I710" s="15">
        <f t="shared" si="98"/>
        <v>55000</v>
      </c>
      <c r="J710" s="14">
        <f t="shared" si="99"/>
        <v>6600</v>
      </c>
      <c r="K710" s="15">
        <f t="shared" si="100"/>
        <v>412.5</v>
      </c>
      <c r="L710" s="15">
        <f t="shared" si="101"/>
        <v>47987.5</v>
      </c>
      <c r="M710" s="14"/>
      <c r="N710" s="14"/>
    </row>
    <row r="711" ht="14.25">
      <c r="A711" s="14">
        <v>709</v>
      </c>
      <c r="B711" s="14" t="str">
        <f t="shared" si="95"/>
        <v>Empl_709</v>
      </c>
      <c r="C711" s="14" t="s">
        <v>12</v>
      </c>
      <c r="D711" s="14">
        <v>48000</v>
      </c>
      <c r="E711" s="14">
        <f t="shared" ca="1" si="102"/>
        <v>30</v>
      </c>
      <c r="F711" s="14">
        <v>23</v>
      </c>
      <c r="G711" s="14">
        <f t="shared" si="96"/>
        <v>7</v>
      </c>
      <c r="H711" s="15">
        <f t="shared" si="97"/>
        <v>2086.9565217391305</v>
      </c>
      <c r="I711" s="15">
        <f t="shared" si="98"/>
        <v>48000</v>
      </c>
      <c r="J711" s="14">
        <f t="shared" si="99"/>
        <v>5760</v>
      </c>
      <c r="K711" s="15">
        <f t="shared" si="100"/>
        <v>360</v>
      </c>
      <c r="L711" s="15">
        <f t="shared" si="101"/>
        <v>41880</v>
      </c>
      <c r="M711" s="14"/>
      <c r="N711" s="14"/>
    </row>
    <row r="712" ht="14.25">
      <c r="A712" s="14">
        <v>710</v>
      </c>
      <c r="B712" s="14" t="str">
        <f t="shared" si="95"/>
        <v>Empl_710</v>
      </c>
      <c r="C712" s="14" t="s">
        <v>10</v>
      </c>
      <c r="D712" s="14">
        <v>38000</v>
      </c>
      <c r="E712" s="14">
        <f t="shared" ca="1" si="102"/>
        <v>30</v>
      </c>
      <c r="F712" s="14">
        <v>24</v>
      </c>
      <c r="G712" s="14">
        <f t="shared" si="96"/>
        <v>6</v>
      </c>
      <c r="H712" s="15">
        <f t="shared" si="97"/>
        <v>1583.3333333333333</v>
      </c>
      <c r="I712" s="15">
        <f t="shared" si="98"/>
        <v>38000</v>
      </c>
      <c r="J712" s="14">
        <f t="shared" si="99"/>
        <v>4560</v>
      </c>
      <c r="K712" s="15">
        <f t="shared" si="100"/>
        <v>285</v>
      </c>
      <c r="L712" s="15">
        <f t="shared" si="101"/>
        <v>33155</v>
      </c>
      <c r="M712" s="14"/>
      <c r="N712" s="14"/>
    </row>
    <row r="713" ht="14.25">
      <c r="A713" s="14">
        <v>711</v>
      </c>
      <c r="B713" s="14" t="str">
        <f t="shared" si="95"/>
        <v>Empl_711</v>
      </c>
      <c r="C713" s="14" t="s">
        <v>13</v>
      </c>
      <c r="D713" s="14">
        <v>36000</v>
      </c>
      <c r="E713" s="14">
        <f t="shared" ca="1" si="102"/>
        <v>30</v>
      </c>
      <c r="F713" s="14">
        <v>24</v>
      </c>
      <c r="G713" s="14">
        <f t="shared" si="96"/>
        <v>6</v>
      </c>
      <c r="H713" s="15">
        <f t="shared" si="97"/>
        <v>1500</v>
      </c>
      <c r="I713" s="15">
        <f t="shared" si="98"/>
        <v>36000</v>
      </c>
      <c r="J713" s="14">
        <f t="shared" si="99"/>
        <v>4320</v>
      </c>
      <c r="K713" s="15">
        <f t="shared" si="100"/>
        <v>270</v>
      </c>
      <c r="L713" s="15">
        <f t="shared" si="101"/>
        <v>31410</v>
      </c>
      <c r="M713" s="14"/>
      <c r="N713" s="14"/>
    </row>
    <row r="714" ht="14.25">
      <c r="A714" s="14">
        <v>712</v>
      </c>
      <c r="B714" s="14" t="str">
        <f t="shared" si="95"/>
        <v>Empl_712</v>
      </c>
      <c r="C714" s="14" t="s">
        <v>9</v>
      </c>
      <c r="D714" s="14">
        <v>15000</v>
      </c>
      <c r="E714" s="14">
        <f t="shared" ca="1" si="102"/>
        <v>30</v>
      </c>
      <c r="F714" s="14">
        <v>27</v>
      </c>
      <c r="G714" s="14">
        <f t="shared" si="96"/>
        <v>3</v>
      </c>
      <c r="H714" s="15">
        <f t="shared" si="97"/>
        <v>555.55555555555554</v>
      </c>
      <c r="I714" s="15">
        <f t="shared" si="98"/>
        <v>15000</v>
      </c>
      <c r="J714" s="14">
        <f t="shared" si="99"/>
        <v>1800</v>
      </c>
      <c r="K714" s="15">
        <f t="shared" si="100"/>
        <v>112.5</v>
      </c>
      <c r="L714" s="15">
        <f t="shared" si="101"/>
        <v>13087.5</v>
      </c>
      <c r="M714" s="14"/>
      <c r="N714" s="14"/>
    </row>
    <row r="715" ht="14.25">
      <c r="A715" s="14">
        <v>713</v>
      </c>
      <c r="B715" s="14" t="str">
        <f t="shared" si="95"/>
        <v>Empl_713</v>
      </c>
      <c r="C715" s="14" t="s">
        <v>11</v>
      </c>
      <c r="D715" s="14">
        <v>26000</v>
      </c>
      <c r="E715" s="14">
        <f t="shared" ca="1" si="102"/>
        <v>30</v>
      </c>
      <c r="F715" s="14">
        <v>21</v>
      </c>
      <c r="G715" s="14">
        <f t="shared" si="96"/>
        <v>9</v>
      </c>
      <c r="H715" s="15">
        <f t="shared" si="97"/>
        <v>1238.0952380952381</v>
      </c>
      <c r="I715" s="15">
        <f t="shared" si="98"/>
        <v>26000</v>
      </c>
      <c r="J715" s="14">
        <f t="shared" si="99"/>
        <v>3120</v>
      </c>
      <c r="K715" s="15">
        <f t="shared" si="100"/>
        <v>195</v>
      </c>
      <c r="L715" s="15">
        <f t="shared" si="101"/>
        <v>22685</v>
      </c>
      <c r="M715" s="14"/>
      <c r="N715" s="14"/>
    </row>
    <row r="716" ht="14.25">
      <c r="A716" s="14">
        <v>714</v>
      </c>
      <c r="B716" s="14" t="str">
        <f t="shared" si="95"/>
        <v>Empl_714</v>
      </c>
      <c r="C716" s="14" t="s">
        <v>8</v>
      </c>
      <c r="D716" s="14">
        <v>16000</v>
      </c>
      <c r="E716" s="14">
        <f t="shared" ca="1" si="102"/>
        <v>30</v>
      </c>
      <c r="F716" s="14">
        <v>28</v>
      </c>
      <c r="G716" s="14">
        <f t="shared" si="96"/>
        <v>2</v>
      </c>
      <c r="H716" s="15">
        <f t="shared" si="97"/>
        <v>571.42857142857144</v>
      </c>
      <c r="I716" s="15">
        <f t="shared" si="98"/>
        <v>16000</v>
      </c>
      <c r="J716" s="14">
        <f t="shared" si="99"/>
        <v>1920</v>
      </c>
      <c r="K716" s="15">
        <f t="shared" si="100"/>
        <v>120</v>
      </c>
      <c r="L716" s="15">
        <f t="shared" si="101"/>
        <v>13960</v>
      </c>
      <c r="M716" s="14"/>
      <c r="N716" s="14"/>
    </row>
    <row r="717" ht="14.25">
      <c r="A717" s="14">
        <v>715</v>
      </c>
      <c r="B717" s="14" t="str">
        <f t="shared" si="95"/>
        <v>Empl_715</v>
      </c>
      <c r="C717" s="14" t="s">
        <v>12</v>
      </c>
      <c r="D717" s="14">
        <v>57000</v>
      </c>
      <c r="E717" s="14">
        <f t="shared" ca="1" si="102"/>
        <v>30</v>
      </c>
      <c r="F717" s="14">
        <v>28</v>
      </c>
      <c r="G717" s="14">
        <f t="shared" si="96"/>
        <v>2</v>
      </c>
      <c r="H717" s="15">
        <f t="shared" si="97"/>
        <v>2035.7142857142858</v>
      </c>
      <c r="I717" s="15">
        <f t="shared" si="98"/>
        <v>57000</v>
      </c>
      <c r="J717" s="14">
        <f t="shared" si="99"/>
        <v>6840</v>
      </c>
      <c r="K717" s="15">
        <f t="shared" si="100"/>
        <v>427.5</v>
      </c>
      <c r="L717" s="15">
        <f t="shared" si="101"/>
        <v>49732.5</v>
      </c>
      <c r="M717" s="14"/>
      <c r="N717" s="14"/>
    </row>
    <row r="718" ht="14.25">
      <c r="A718" s="14">
        <v>716</v>
      </c>
      <c r="B718" s="14" t="str">
        <f t="shared" si="95"/>
        <v>Empl_716</v>
      </c>
      <c r="C718" s="14" t="s">
        <v>10</v>
      </c>
      <c r="D718" s="14">
        <v>35000</v>
      </c>
      <c r="E718" s="14">
        <f t="shared" ca="1" si="102"/>
        <v>30</v>
      </c>
      <c r="F718" s="14">
        <v>29</v>
      </c>
      <c r="G718" s="14">
        <f t="shared" si="96"/>
        <v>1</v>
      </c>
      <c r="H718" s="15">
        <f t="shared" si="97"/>
        <v>1206.8965517241379</v>
      </c>
      <c r="I718" s="15">
        <f t="shared" si="98"/>
        <v>35000</v>
      </c>
      <c r="J718" s="14">
        <f t="shared" si="99"/>
        <v>4200</v>
      </c>
      <c r="K718" s="15">
        <f t="shared" si="100"/>
        <v>262.5</v>
      </c>
      <c r="L718" s="15">
        <f t="shared" si="101"/>
        <v>30537.5</v>
      </c>
      <c r="M718" s="14"/>
      <c r="N718" s="14"/>
    </row>
    <row r="719" ht="14.25">
      <c r="A719" s="14">
        <v>717</v>
      </c>
      <c r="B719" s="14" t="str">
        <f t="shared" si="95"/>
        <v>Empl_717</v>
      </c>
      <c r="C719" s="14" t="s">
        <v>13</v>
      </c>
      <c r="D719" s="14">
        <v>45000</v>
      </c>
      <c r="E719" s="14">
        <f t="shared" ca="1" si="102"/>
        <v>30</v>
      </c>
      <c r="F719" s="14">
        <v>20</v>
      </c>
      <c r="G719" s="14">
        <f t="shared" si="96"/>
        <v>10</v>
      </c>
      <c r="H719" s="15">
        <f t="shared" si="97"/>
        <v>2250</v>
      </c>
      <c r="I719" s="15">
        <f t="shared" si="98"/>
        <v>45000</v>
      </c>
      <c r="J719" s="14">
        <f t="shared" si="99"/>
        <v>5400</v>
      </c>
      <c r="K719" s="15">
        <f t="shared" si="100"/>
        <v>337.5</v>
      </c>
      <c r="L719" s="15">
        <f t="shared" si="101"/>
        <v>39262.5</v>
      </c>
      <c r="M719" s="14"/>
      <c r="N719" s="14"/>
    </row>
    <row r="720" ht="14.25">
      <c r="A720" s="14">
        <v>718</v>
      </c>
      <c r="B720" s="14" t="str">
        <f t="shared" si="95"/>
        <v>Empl_718</v>
      </c>
      <c r="C720" s="14" t="s">
        <v>9</v>
      </c>
      <c r="D720" s="14">
        <v>23000</v>
      </c>
      <c r="E720" s="14">
        <f t="shared" ca="1" si="102"/>
        <v>30</v>
      </c>
      <c r="F720" s="14">
        <v>26</v>
      </c>
      <c r="G720" s="14">
        <f t="shared" si="96"/>
        <v>4</v>
      </c>
      <c r="H720" s="15">
        <f t="shared" si="97"/>
        <v>884.61538461538464</v>
      </c>
      <c r="I720" s="15">
        <f t="shared" si="98"/>
        <v>23000</v>
      </c>
      <c r="J720" s="14">
        <f t="shared" si="99"/>
        <v>2760</v>
      </c>
      <c r="K720" s="15">
        <f t="shared" si="100"/>
        <v>172.5</v>
      </c>
      <c r="L720" s="15">
        <f t="shared" si="101"/>
        <v>20067.5</v>
      </c>
      <c r="M720" s="14"/>
      <c r="N720" s="14"/>
    </row>
    <row r="721" ht="14.25">
      <c r="A721" s="14">
        <v>719</v>
      </c>
      <c r="B721" s="14" t="str">
        <f t="shared" si="95"/>
        <v>Empl_719</v>
      </c>
      <c r="C721" s="14" t="s">
        <v>11</v>
      </c>
      <c r="D721" s="14">
        <v>32000</v>
      </c>
      <c r="E721" s="14">
        <f t="shared" ca="1" si="102"/>
        <v>30</v>
      </c>
      <c r="F721" s="14">
        <v>26</v>
      </c>
      <c r="G721" s="14">
        <f t="shared" si="96"/>
        <v>4</v>
      </c>
      <c r="H721" s="15">
        <f t="shared" si="97"/>
        <v>1230.7692307692307</v>
      </c>
      <c r="I721" s="15">
        <f t="shared" si="98"/>
        <v>32000</v>
      </c>
      <c r="J721" s="14">
        <f t="shared" si="99"/>
        <v>3840</v>
      </c>
      <c r="K721" s="15">
        <f t="shared" si="100"/>
        <v>240</v>
      </c>
      <c r="L721" s="15">
        <f t="shared" si="101"/>
        <v>27920</v>
      </c>
      <c r="M721" s="14"/>
      <c r="N721" s="14"/>
    </row>
    <row r="722" ht="14.25">
      <c r="A722" s="14">
        <v>720</v>
      </c>
      <c r="B722" s="14" t="str">
        <f t="shared" si="95"/>
        <v>Empl_720</v>
      </c>
      <c r="C722" s="14" t="s">
        <v>8</v>
      </c>
      <c r="D722" s="14">
        <v>27000</v>
      </c>
      <c r="E722" s="14">
        <f t="shared" ca="1" si="102"/>
        <v>30</v>
      </c>
      <c r="F722" s="14">
        <v>29</v>
      </c>
      <c r="G722" s="14">
        <f t="shared" si="96"/>
        <v>1</v>
      </c>
      <c r="H722" s="15">
        <f t="shared" si="97"/>
        <v>931.0344827586207</v>
      </c>
      <c r="I722" s="15">
        <f t="shared" si="98"/>
        <v>27000</v>
      </c>
      <c r="J722" s="14">
        <f t="shared" si="99"/>
        <v>3240</v>
      </c>
      <c r="K722" s="15">
        <f t="shared" si="100"/>
        <v>202.5</v>
      </c>
      <c r="L722" s="15">
        <f t="shared" si="101"/>
        <v>23557.5</v>
      </c>
      <c r="M722" s="14"/>
      <c r="N722" s="14"/>
    </row>
    <row r="723" ht="14.25">
      <c r="A723" s="14">
        <v>721</v>
      </c>
      <c r="B723" s="14" t="str">
        <f t="shared" si="95"/>
        <v>Empl_721</v>
      </c>
      <c r="C723" s="14" t="s">
        <v>12</v>
      </c>
      <c r="D723" s="14">
        <v>54000</v>
      </c>
      <c r="E723" s="14">
        <f t="shared" ca="1" si="102"/>
        <v>30</v>
      </c>
      <c r="F723" s="14">
        <v>23</v>
      </c>
      <c r="G723" s="14">
        <f t="shared" si="96"/>
        <v>7</v>
      </c>
      <c r="H723" s="15">
        <f t="shared" si="97"/>
        <v>2347.8260869565215</v>
      </c>
      <c r="I723" s="15">
        <f t="shared" si="98"/>
        <v>53999.999999999993</v>
      </c>
      <c r="J723" s="14">
        <f t="shared" si="99"/>
        <v>6479.9999999999991</v>
      </c>
      <c r="K723" s="15">
        <f t="shared" si="100"/>
        <v>404.99999999999994</v>
      </c>
      <c r="L723" s="15">
        <f t="shared" si="101"/>
        <v>47114.999999999993</v>
      </c>
      <c r="M723" s="14"/>
      <c r="N723" s="14"/>
    </row>
    <row r="724" ht="14.25">
      <c r="A724" s="14">
        <v>722</v>
      </c>
      <c r="B724" s="14" t="str">
        <f t="shared" si="95"/>
        <v>Empl_722</v>
      </c>
      <c r="C724" s="14" t="s">
        <v>10</v>
      </c>
      <c r="D724" s="14">
        <v>24000</v>
      </c>
      <c r="E724" s="14">
        <f t="shared" ca="1" si="102"/>
        <v>30</v>
      </c>
      <c r="F724" s="14">
        <v>24</v>
      </c>
      <c r="G724" s="14">
        <f t="shared" si="96"/>
        <v>6</v>
      </c>
      <c r="H724" s="15">
        <f t="shared" si="97"/>
        <v>1000</v>
      </c>
      <c r="I724" s="15">
        <f t="shared" si="98"/>
        <v>24000</v>
      </c>
      <c r="J724" s="14">
        <f t="shared" si="99"/>
        <v>2880</v>
      </c>
      <c r="K724" s="15">
        <f t="shared" si="100"/>
        <v>180</v>
      </c>
      <c r="L724" s="15">
        <f t="shared" si="101"/>
        <v>20940</v>
      </c>
      <c r="M724" s="14"/>
      <c r="N724" s="14"/>
    </row>
    <row r="725" ht="14.25">
      <c r="A725" s="14">
        <v>723</v>
      </c>
      <c r="B725" s="14" t="str">
        <f t="shared" si="95"/>
        <v>Empl_723</v>
      </c>
      <c r="C725" s="14" t="s">
        <v>13</v>
      </c>
      <c r="D725" s="14">
        <v>16000</v>
      </c>
      <c r="E725" s="14">
        <f t="shared" ca="1" si="102"/>
        <v>30</v>
      </c>
      <c r="F725" s="14">
        <v>26</v>
      </c>
      <c r="G725" s="14">
        <f t="shared" si="96"/>
        <v>4</v>
      </c>
      <c r="H725" s="15">
        <f t="shared" si="97"/>
        <v>615.38461538461536</v>
      </c>
      <c r="I725" s="15">
        <f t="shared" si="98"/>
        <v>16000</v>
      </c>
      <c r="J725" s="14">
        <f t="shared" si="99"/>
        <v>1920</v>
      </c>
      <c r="K725" s="15">
        <f t="shared" si="100"/>
        <v>120</v>
      </c>
      <c r="L725" s="15">
        <f t="shared" si="101"/>
        <v>13960</v>
      </c>
      <c r="M725" s="14"/>
      <c r="N725" s="14"/>
    </row>
    <row r="726" ht="14.25">
      <c r="A726" s="14">
        <v>724</v>
      </c>
      <c r="B726" s="14" t="str">
        <f t="shared" si="95"/>
        <v>Empl_724</v>
      </c>
      <c r="C726" s="14" t="s">
        <v>9</v>
      </c>
      <c r="D726" s="14">
        <v>28000</v>
      </c>
      <c r="E726" s="14">
        <f t="shared" ca="1" si="102"/>
        <v>30</v>
      </c>
      <c r="F726" s="14">
        <v>26</v>
      </c>
      <c r="G726" s="14">
        <f t="shared" si="96"/>
        <v>4</v>
      </c>
      <c r="H726" s="15">
        <f t="shared" si="97"/>
        <v>1076.9230769230769</v>
      </c>
      <c r="I726" s="15">
        <f t="shared" si="98"/>
        <v>28000</v>
      </c>
      <c r="J726" s="14">
        <f t="shared" si="99"/>
        <v>3360</v>
      </c>
      <c r="K726" s="15">
        <f t="shared" si="100"/>
        <v>210</v>
      </c>
      <c r="L726" s="15">
        <f t="shared" si="101"/>
        <v>24430</v>
      </c>
      <c r="M726" s="14"/>
      <c r="N726" s="14"/>
    </row>
    <row r="727" ht="14.25">
      <c r="A727" s="14">
        <v>725</v>
      </c>
      <c r="B727" s="14" t="str">
        <f t="shared" si="95"/>
        <v>Empl_725</v>
      </c>
      <c r="C727" s="14" t="s">
        <v>11</v>
      </c>
      <c r="D727" s="14">
        <v>18000</v>
      </c>
      <c r="E727" s="14">
        <f t="shared" ca="1" si="102"/>
        <v>30</v>
      </c>
      <c r="F727" s="14">
        <v>27</v>
      </c>
      <c r="G727" s="14">
        <f t="shared" si="96"/>
        <v>3</v>
      </c>
      <c r="H727" s="15">
        <f t="shared" si="97"/>
        <v>666.66666666666663</v>
      </c>
      <c r="I727" s="15">
        <f t="shared" si="98"/>
        <v>18000</v>
      </c>
      <c r="J727" s="14">
        <f t="shared" si="99"/>
        <v>2160</v>
      </c>
      <c r="K727" s="15">
        <f t="shared" si="100"/>
        <v>135</v>
      </c>
      <c r="L727" s="15">
        <f t="shared" si="101"/>
        <v>15705</v>
      </c>
      <c r="M727" s="14"/>
      <c r="N727" s="14"/>
    </row>
    <row r="728" ht="14.25">
      <c r="A728" s="14">
        <v>726</v>
      </c>
      <c r="B728" s="14" t="str">
        <f t="shared" si="95"/>
        <v>Empl_726</v>
      </c>
      <c r="C728" s="14" t="s">
        <v>8</v>
      </c>
      <c r="D728" s="14">
        <v>49000</v>
      </c>
      <c r="E728" s="14">
        <f t="shared" ca="1" si="102"/>
        <v>30</v>
      </c>
      <c r="F728" s="14">
        <v>27</v>
      </c>
      <c r="G728" s="14">
        <f t="shared" si="96"/>
        <v>3</v>
      </c>
      <c r="H728" s="15">
        <f t="shared" si="97"/>
        <v>1814.8148148148148</v>
      </c>
      <c r="I728" s="15">
        <f t="shared" si="98"/>
        <v>49000</v>
      </c>
      <c r="J728" s="14">
        <f t="shared" si="99"/>
        <v>5880</v>
      </c>
      <c r="K728" s="15">
        <f t="shared" si="100"/>
        <v>367.5</v>
      </c>
      <c r="L728" s="15">
        <f t="shared" si="101"/>
        <v>42752.5</v>
      </c>
      <c r="M728" s="14"/>
      <c r="N728" s="14"/>
    </row>
    <row r="729" ht="14.25">
      <c r="A729" s="14">
        <v>727</v>
      </c>
      <c r="B729" s="14" t="str">
        <f t="shared" si="95"/>
        <v>Empl_727</v>
      </c>
      <c r="C729" s="14" t="s">
        <v>12</v>
      </c>
      <c r="D729" s="14">
        <v>49000</v>
      </c>
      <c r="E729" s="14">
        <f t="shared" ca="1" si="102"/>
        <v>30</v>
      </c>
      <c r="F729" s="14">
        <v>26</v>
      </c>
      <c r="G729" s="14">
        <f t="shared" si="96"/>
        <v>4</v>
      </c>
      <c r="H729" s="15">
        <f t="shared" si="97"/>
        <v>1884.6153846153845</v>
      </c>
      <c r="I729" s="15">
        <f t="shared" si="98"/>
        <v>49000</v>
      </c>
      <c r="J729" s="14">
        <f t="shared" si="99"/>
        <v>5880</v>
      </c>
      <c r="K729" s="15">
        <f t="shared" si="100"/>
        <v>367.5</v>
      </c>
      <c r="L729" s="15">
        <f t="shared" si="101"/>
        <v>42752.5</v>
      </c>
      <c r="M729" s="14"/>
      <c r="N729" s="14"/>
    </row>
    <row r="730" ht="14.25">
      <c r="A730" s="14">
        <v>728</v>
      </c>
      <c r="B730" s="14" t="str">
        <f t="shared" si="95"/>
        <v>Empl_728</v>
      </c>
      <c r="C730" s="14" t="s">
        <v>10</v>
      </c>
      <c r="D730" s="14">
        <v>32000</v>
      </c>
      <c r="E730" s="14">
        <f t="shared" ca="1" si="102"/>
        <v>30</v>
      </c>
      <c r="F730" s="14">
        <v>25</v>
      </c>
      <c r="G730" s="14">
        <f t="shared" si="96"/>
        <v>5</v>
      </c>
      <c r="H730" s="15">
        <f t="shared" si="97"/>
        <v>1280</v>
      </c>
      <c r="I730" s="15">
        <f t="shared" si="98"/>
        <v>32000</v>
      </c>
      <c r="J730" s="14">
        <f t="shared" si="99"/>
        <v>3840</v>
      </c>
      <c r="K730" s="15">
        <f t="shared" si="100"/>
        <v>240</v>
      </c>
      <c r="L730" s="15">
        <f t="shared" si="101"/>
        <v>27920</v>
      </c>
      <c r="M730" s="14"/>
      <c r="N730" s="14"/>
    </row>
    <row r="731" ht="14.25">
      <c r="A731" s="14">
        <v>729</v>
      </c>
      <c r="B731" s="14" t="str">
        <f t="shared" si="95"/>
        <v>Empl_729</v>
      </c>
      <c r="C731" s="14" t="s">
        <v>13</v>
      </c>
      <c r="D731" s="14">
        <v>59000</v>
      </c>
      <c r="E731" s="14">
        <f t="shared" ca="1" si="102"/>
        <v>30</v>
      </c>
      <c r="F731" s="14">
        <v>20</v>
      </c>
      <c r="G731" s="14">
        <f t="shared" si="96"/>
        <v>10</v>
      </c>
      <c r="H731" s="15">
        <f t="shared" si="97"/>
        <v>2950</v>
      </c>
      <c r="I731" s="15">
        <f t="shared" si="98"/>
        <v>59000</v>
      </c>
      <c r="J731" s="14">
        <f t="shared" si="99"/>
        <v>7080</v>
      </c>
      <c r="K731" s="15">
        <f t="shared" si="100"/>
        <v>442.5</v>
      </c>
      <c r="L731" s="15">
        <f t="shared" si="101"/>
        <v>51477.5</v>
      </c>
      <c r="M731" s="14"/>
      <c r="N731" s="14"/>
    </row>
    <row r="732" ht="14.25">
      <c r="A732" s="14">
        <v>730</v>
      </c>
      <c r="B732" s="14" t="str">
        <f t="shared" si="95"/>
        <v>Empl_730</v>
      </c>
      <c r="C732" s="14" t="s">
        <v>9</v>
      </c>
      <c r="D732" s="14">
        <v>31000</v>
      </c>
      <c r="E732" s="14">
        <f t="shared" ca="1" si="102"/>
        <v>30</v>
      </c>
      <c r="F732" s="14">
        <v>29</v>
      </c>
      <c r="G732" s="14">
        <f t="shared" si="96"/>
        <v>1</v>
      </c>
      <c r="H732" s="15">
        <f t="shared" si="97"/>
        <v>1068.9655172413793</v>
      </c>
      <c r="I732" s="15">
        <f t="shared" si="98"/>
        <v>31000</v>
      </c>
      <c r="J732" s="14">
        <f t="shared" si="99"/>
        <v>3720</v>
      </c>
      <c r="K732" s="15">
        <f t="shared" si="100"/>
        <v>232.5</v>
      </c>
      <c r="L732" s="15">
        <f t="shared" si="101"/>
        <v>27047.5</v>
      </c>
      <c r="M732" s="14"/>
      <c r="N732" s="14"/>
    </row>
    <row r="733" ht="14.25">
      <c r="A733" s="14">
        <v>731</v>
      </c>
      <c r="B733" s="14" t="str">
        <f t="shared" si="95"/>
        <v>Empl_731</v>
      </c>
      <c r="C733" s="14" t="s">
        <v>11</v>
      </c>
      <c r="D733" s="14">
        <v>31000</v>
      </c>
      <c r="E733" s="14">
        <f t="shared" ca="1" si="102"/>
        <v>30</v>
      </c>
      <c r="F733" s="14">
        <v>20</v>
      </c>
      <c r="G733" s="14">
        <f t="shared" si="96"/>
        <v>10</v>
      </c>
      <c r="H733" s="15">
        <f t="shared" si="97"/>
        <v>1550</v>
      </c>
      <c r="I733" s="15">
        <f t="shared" si="98"/>
        <v>31000</v>
      </c>
      <c r="J733" s="14">
        <f t="shared" si="99"/>
        <v>3720</v>
      </c>
      <c r="K733" s="15">
        <f t="shared" si="100"/>
        <v>232.5</v>
      </c>
      <c r="L733" s="15">
        <f t="shared" si="101"/>
        <v>27047.5</v>
      </c>
      <c r="M733" s="14"/>
      <c r="N733" s="14"/>
    </row>
    <row r="734" ht="14.25">
      <c r="A734" s="14">
        <v>732</v>
      </c>
      <c r="B734" s="14" t="str">
        <f t="shared" si="95"/>
        <v>Empl_732</v>
      </c>
      <c r="C734" s="14" t="s">
        <v>8</v>
      </c>
      <c r="D734" s="14">
        <v>30000</v>
      </c>
      <c r="E734" s="14">
        <f t="shared" ca="1" si="102"/>
        <v>30</v>
      </c>
      <c r="F734" s="14">
        <v>23</v>
      </c>
      <c r="G734" s="14">
        <f t="shared" si="96"/>
        <v>7</v>
      </c>
      <c r="H734" s="15">
        <f t="shared" si="97"/>
        <v>1304.3478260869565</v>
      </c>
      <c r="I734" s="15">
        <f t="shared" si="98"/>
        <v>30000</v>
      </c>
      <c r="J734" s="14">
        <f t="shared" si="99"/>
        <v>3600</v>
      </c>
      <c r="K734" s="15">
        <f t="shared" si="100"/>
        <v>225</v>
      </c>
      <c r="L734" s="15">
        <f t="shared" si="101"/>
        <v>26175</v>
      </c>
      <c r="M734" s="14"/>
      <c r="N734" s="14"/>
    </row>
    <row r="735" ht="14.25">
      <c r="A735" s="14">
        <v>733</v>
      </c>
      <c r="B735" s="14" t="str">
        <f t="shared" si="95"/>
        <v>Empl_733</v>
      </c>
      <c r="C735" s="14" t="s">
        <v>12</v>
      </c>
      <c r="D735" s="14">
        <v>52000</v>
      </c>
      <c r="E735" s="14">
        <f t="shared" ca="1" si="102"/>
        <v>30</v>
      </c>
      <c r="F735" s="14">
        <v>24</v>
      </c>
      <c r="G735" s="14">
        <f t="shared" si="96"/>
        <v>6</v>
      </c>
      <c r="H735" s="15">
        <f t="shared" si="97"/>
        <v>2166.6666666666665</v>
      </c>
      <c r="I735" s="15">
        <f t="shared" si="98"/>
        <v>52000</v>
      </c>
      <c r="J735" s="14">
        <f t="shared" si="99"/>
        <v>6240</v>
      </c>
      <c r="K735" s="15">
        <f t="shared" si="100"/>
        <v>390</v>
      </c>
      <c r="L735" s="15">
        <f t="shared" si="101"/>
        <v>45370</v>
      </c>
      <c r="M735" s="14"/>
      <c r="N735" s="14"/>
    </row>
    <row r="736" ht="14.25">
      <c r="A736" s="14">
        <v>734</v>
      </c>
      <c r="B736" s="14" t="str">
        <f t="shared" si="95"/>
        <v>Empl_734</v>
      </c>
      <c r="C736" s="14" t="s">
        <v>10</v>
      </c>
      <c r="D736" s="14">
        <v>26000</v>
      </c>
      <c r="E736" s="14">
        <f t="shared" ca="1" si="102"/>
        <v>30</v>
      </c>
      <c r="F736" s="14">
        <v>25</v>
      </c>
      <c r="G736" s="14">
        <f t="shared" si="96"/>
        <v>5</v>
      </c>
      <c r="H736" s="15">
        <f t="shared" si="97"/>
        <v>1040</v>
      </c>
      <c r="I736" s="15">
        <f t="shared" si="98"/>
        <v>26000</v>
      </c>
      <c r="J736" s="14">
        <f t="shared" si="99"/>
        <v>3120</v>
      </c>
      <c r="K736" s="15">
        <f t="shared" si="100"/>
        <v>195</v>
      </c>
      <c r="L736" s="15">
        <f t="shared" si="101"/>
        <v>22685</v>
      </c>
      <c r="M736" s="14"/>
      <c r="N736" s="14"/>
    </row>
    <row r="737" ht="14.25">
      <c r="A737" s="14">
        <v>735</v>
      </c>
      <c r="B737" s="14" t="str">
        <f t="shared" si="95"/>
        <v>Empl_735</v>
      </c>
      <c r="C737" s="14" t="s">
        <v>13</v>
      </c>
      <c r="D737" s="14">
        <v>36000</v>
      </c>
      <c r="E737" s="14">
        <f t="shared" ca="1" si="102"/>
        <v>30</v>
      </c>
      <c r="F737" s="14">
        <v>23</v>
      </c>
      <c r="G737" s="14">
        <f t="shared" si="96"/>
        <v>7</v>
      </c>
      <c r="H737" s="15">
        <f t="shared" si="97"/>
        <v>1565.2173913043478</v>
      </c>
      <c r="I737" s="15">
        <f t="shared" si="98"/>
        <v>36000</v>
      </c>
      <c r="J737" s="14">
        <f t="shared" si="99"/>
        <v>4320</v>
      </c>
      <c r="K737" s="15">
        <f t="shared" si="100"/>
        <v>270</v>
      </c>
      <c r="L737" s="15">
        <f t="shared" si="101"/>
        <v>31410</v>
      </c>
      <c r="M737" s="14"/>
      <c r="N737" s="14"/>
    </row>
    <row r="738" ht="14.25">
      <c r="A738" s="14">
        <v>736</v>
      </c>
      <c r="B738" s="14" t="str">
        <f t="shared" si="95"/>
        <v>Empl_736</v>
      </c>
      <c r="C738" s="14" t="s">
        <v>9</v>
      </c>
      <c r="D738" s="14">
        <v>49000</v>
      </c>
      <c r="E738" s="14">
        <f t="shared" ca="1" si="102"/>
        <v>30</v>
      </c>
      <c r="F738" s="14">
        <v>28</v>
      </c>
      <c r="G738" s="14">
        <f t="shared" si="96"/>
        <v>2</v>
      </c>
      <c r="H738" s="15">
        <f t="shared" si="97"/>
        <v>1750</v>
      </c>
      <c r="I738" s="15">
        <f t="shared" si="98"/>
        <v>49000</v>
      </c>
      <c r="J738" s="14">
        <f t="shared" si="99"/>
        <v>5880</v>
      </c>
      <c r="K738" s="15">
        <f t="shared" si="100"/>
        <v>367.5</v>
      </c>
      <c r="L738" s="15">
        <f t="shared" si="101"/>
        <v>42752.5</v>
      </c>
      <c r="M738" s="14"/>
      <c r="N738" s="14"/>
    </row>
    <row r="739" ht="14.25">
      <c r="A739" s="14">
        <v>737</v>
      </c>
      <c r="B739" s="14" t="str">
        <f t="shared" si="95"/>
        <v>Empl_737</v>
      </c>
      <c r="C739" s="14" t="s">
        <v>11</v>
      </c>
      <c r="D739" s="14">
        <v>56000</v>
      </c>
      <c r="E739" s="14">
        <f t="shared" ca="1" si="102"/>
        <v>30</v>
      </c>
      <c r="F739" s="14">
        <v>23</v>
      </c>
      <c r="G739" s="14">
        <f t="shared" si="96"/>
        <v>7</v>
      </c>
      <c r="H739" s="15">
        <f t="shared" si="97"/>
        <v>2434.782608695652</v>
      </c>
      <c r="I739" s="15">
        <f t="shared" si="98"/>
        <v>56000</v>
      </c>
      <c r="J739" s="14">
        <f t="shared" si="99"/>
        <v>6720</v>
      </c>
      <c r="K739" s="15">
        <f t="shared" si="100"/>
        <v>420</v>
      </c>
      <c r="L739" s="15">
        <f t="shared" si="101"/>
        <v>48860</v>
      </c>
      <c r="M739" s="14"/>
      <c r="N739" s="14"/>
    </row>
    <row r="740" ht="14.25">
      <c r="A740" s="14">
        <v>738</v>
      </c>
      <c r="B740" s="14" t="str">
        <f t="shared" ref="B740:B803" si="103">"Empl_"&amp;A740</f>
        <v>Empl_738</v>
      </c>
      <c r="C740" s="14" t="s">
        <v>8</v>
      </c>
      <c r="D740" s="14">
        <v>57000</v>
      </c>
      <c r="E740" s="14">
        <f t="shared" ca="1" si="102"/>
        <v>30</v>
      </c>
      <c r="F740" s="14">
        <v>24</v>
      </c>
      <c r="G740" s="14">
        <f t="shared" ref="G740:G803" si="104">E740-F740</f>
        <v>6</v>
      </c>
      <c r="H740" s="15">
        <f t="shared" ref="H740:H803" si="105">D740/F740</f>
        <v>2375</v>
      </c>
      <c r="I740" s="15">
        <f t="shared" ref="I740:I803" si="106">H740*F740</f>
        <v>57000</v>
      </c>
      <c r="J740" s="14">
        <f t="shared" ref="J740:J803" si="107">I740*12%</f>
        <v>6840</v>
      </c>
      <c r="K740" s="15">
        <f t="shared" ref="K740:K803" si="108">I740*0.75%</f>
        <v>427.5</v>
      </c>
      <c r="L740" s="15">
        <f t="shared" ref="L740:L803" si="109">I740-(J740+K740)</f>
        <v>49732.5</v>
      </c>
      <c r="M740" s="14"/>
      <c r="N740" s="14"/>
    </row>
    <row r="741" ht="14.25">
      <c r="A741" s="14">
        <v>739</v>
      </c>
      <c r="B741" s="14" t="str">
        <f t="shared" si="103"/>
        <v>Empl_739</v>
      </c>
      <c r="C741" s="14" t="s">
        <v>12</v>
      </c>
      <c r="D741" s="14">
        <v>33000</v>
      </c>
      <c r="E741" s="14">
        <f t="shared" ca="1" si="102"/>
        <v>30</v>
      </c>
      <c r="F741" s="14">
        <v>24</v>
      </c>
      <c r="G741" s="14">
        <f t="shared" si="104"/>
        <v>6</v>
      </c>
      <c r="H741" s="15">
        <f t="shared" si="105"/>
        <v>1375</v>
      </c>
      <c r="I741" s="15">
        <f t="shared" si="106"/>
        <v>33000</v>
      </c>
      <c r="J741" s="14">
        <f t="shared" si="107"/>
        <v>3960</v>
      </c>
      <c r="K741" s="15">
        <f t="shared" si="108"/>
        <v>247.5</v>
      </c>
      <c r="L741" s="15">
        <f t="shared" si="109"/>
        <v>28792.5</v>
      </c>
      <c r="M741" s="14"/>
      <c r="N741" s="14"/>
    </row>
    <row r="742" ht="14.25">
      <c r="A742" s="14">
        <v>740</v>
      </c>
      <c r="B742" s="14" t="str">
        <f t="shared" si="103"/>
        <v>Empl_740</v>
      </c>
      <c r="C742" s="14" t="s">
        <v>10</v>
      </c>
      <c r="D742" s="14">
        <v>52000</v>
      </c>
      <c r="E742" s="14">
        <f t="shared" ca="1" si="102"/>
        <v>30</v>
      </c>
      <c r="F742" s="14">
        <v>27</v>
      </c>
      <c r="G742" s="14">
        <f t="shared" si="104"/>
        <v>3</v>
      </c>
      <c r="H742" s="15">
        <f t="shared" si="105"/>
        <v>1925.9259259259259</v>
      </c>
      <c r="I742" s="15">
        <f t="shared" si="106"/>
        <v>52000</v>
      </c>
      <c r="J742" s="14">
        <f t="shared" si="107"/>
        <v>6240</v>
      </c>
      <c r="K742" s="15">
        <f t="shared" si="108"/>
        <v>390</v>
      </c>
      <c r="L742" s="15">
        <f t="shared" si="109"/>
        <v>45370</v>
      </c>
      <c r="M742" s="14"/>
      <c r="N742" s="14"/>
    </row>
    <row r="743" ht="14.25">
      <c r="A743" s="14">
        <v>741</v>
      </c>
      <c r="B743" s="14" t="str">
        <f t="shared" si="103"/>
        <v>Empl_741</v>
      </c>
      <c r="C743" s="14" t="s">
        <v>13</v>
      </c>
      <c r="D743" s="14">
        <v>22000</v>
      </c>
      <c r="E743" s="14">
        <f t="shared" ca="1" si="102"/>
        <v>30</v>
      </c>
      <c r="F743" s="14">
        <v>25</v>
      </c>
      <c r="G743" s="14">
        <f t="shared" si="104"/>
        <v>5</v>
      </c>
      <c r="H743" s="15">
        <f t="shared" si="105"/>
        <v>880</v>
      </c>
      <c r="I743" s="15">
        <f t="shared" si="106"/>
        <v>22000</v>
      </c>
      <c r="J743" s="14">
        <f t="shared" si="107"/>
        <v>2640</v>
      </c>
      <c r="K743" s="15">
        <f t="shared" si="108"/>
        <v>165</v>
      </c>
      <c r="L743" s="15">
        <f t="shared" si="109"/>
        <v>19195</v>
      </c>
      <c r="M743" s="14"/>
      <c r="N743" s="14"/>
    </row>
    <row r="744" ht="14.25">
      <c r="A744" s="14">
        <v>742</v>
      </c>
      <c r="B744" s="14" t="str">
        <f t="shared" si="103"/>
        <v>Empl_742</v>
      </c>
      <c r="C744" s="14" t="s">
        <v>9</v>
      </c>
      <c r="D744" s="14">
        <v>58000</v>
      </c>
      <c r="E744" s="14">
        <f t="shared" ca="1" si="102"/>
        <v>30</v>
      </c>
      <c r="F744" s="14">
        <v>20</v>
      </c>
      <c r="G744" s="14">
        <f t="shared" si="104"/>
        <v>10</v>
      </c>
      <c r="H744" s="15">
        <f t="shared" si="105"/>
        <v>2900</v>
      </c>
      <c r="I744" s="15">
        <f t="shared" si="106"/>
        <v>58000</v>
      </c>
      <c r="J744" s="14">
        <f t="shared" si="107"/>
        <v>6960</v>
      </c>
      <c r="K744" s="15">
        <f t="shared" si="108"/>
        <v>435</v>
      </c>
      <c r="L744" s="15">
        <f t="shared" si="109"/>
        <v>50605</v>
      </c>
      <c r="M744" s="14"/>
      <c r="N744" s="14"/>
    </row>
    <row r="745" ht="14.25">
      <c r="A745" s="14">
        <v>743</v>
      </c>
      <c r="B745" s="14" t="str">
        <f t="shared" si="103"/>
        <v>Empl_743</v>
      </c>
      <c r="C745" s="14" t="s">
        <v>11</v>
      </c>
      <c r="D745" s="14">
        <v>48000</v>
      </c>
      <c r="E745" s="14">
        <f t="shared" ca="1" si="102"/>
        <v>30</v>
      </c>
      <c r="F745" s="14">
        <v>29</v>
      </c>
      <c r="G745" s="14">
        <f t="shared" si="104"/>
        <v>1</v>
      </c>
      <c r="H745" s="15">
        <f t="shared" si="105"/>
        <v>1655.1724137931035</v>
      </c>
      <c r="I745" s="15">
        <f t="shared" si="106"/>
        <v>48000</v>
      </c>
      <c r="J745" s="14">
        <f t="shared" si="107"/>
        <v>5760</v>
      </c>
      <c r="K745" s="15">
        <f t="shared" si="108"/>
        <v>360</v>
      </c>
      <c r="L745" s="15">
        <f t="shared" si="109"/>
        <v>41880</v>
      </c>
      <c r="M745" s="14"/>
      <c r="N745" s="14"/>
    </row>
    <row r="746" ht="14.25">
      <c r="A746" s="14">
        <v>744</v>
      </c>
      <c r="B746" s="14" t="str">
        <f t="shared" si="103"/>
        <v>Empl_744</v>
      </c>
      <c r="C746" s="14" t="s">
        <v>8</v>
      </c>
      <c r="D746" s="14">
        <v>35000</v>
      </c>
      <c r="E746" s="14">
        <f t="shared" ca="1" si="102"/>
        <v>30</v>
      </c>
      <c r="F746" s="14">
        <v>24</v>
      </c>
      <c r="G746" s="14">
        <f t="shared" si="104"/>
        <v>6</v>
      </c>
      <c r="H746" s="15">
        <f t="shared" si="105"/>
        <v>1458.3333333333333</v>
      </c>
      <c r="I746" s="15">
        <f t="shared" si="106"/>
        <v>35000</v>
      </c>
      <c r="J746" s="14">
        <f t="shared" si="107"/>
        <v>4200</v>
      </c>
      <c r="K746" s="15">
        <f t="shared" si="108"/>
        <v>262.5</v>
      </c>
      <c r="L746" s="15">
        <f t="shared" si="109"/>
        <v>30537.5</v>
      </c>
      <c r="M746" s="14"/>
      <c r="N746" s="14"/>
    </row>
    <row r="747" ht="14.25">
      <c r="A747" s="14">
        <v>745</v>
      </c>
      <c r="B747" s="14" t="str">
        <f t="shared" si="103"/>
        <v>Empl_745</v>
      </c>
      <c r="C747" s="14" t="s">
        <v>12</v>
      </c>
      <c r="D747" s="14">
        <v>41000</v>
      </c>
      <c r="E747" s="14">
        <f t="shared" ca="1" si="102"/>
        <v>30</v>
      </c>
      <c r="F747" s="14">
        <v>24</v>
      </c>
      <c r="G747" s="14">
        <f t="shared" si="104"/>
        <v>6</v>
      </c>
      <c r="H747" s="15">
        <f t="shared" si="105"/>
        <v>1708.3333333333333</v>
      </c>
      <c r="I747" s="15">
        <f t="shared" si="106"/>
        <v>41000</v>
      </c>
      <c r="J747" s="14">
        <f t="shared" si="107"/>
        <v>4920</v>
      </c>
      <c r="K747" s="15">
        <f t="shared" si="108"/>
        <v>307.5</v>
      </c>
      <c r="L747" s="15">
        <f t="shared" si="109"/>
        <v>35772.5</v>
      </c>
      <c r="M747" s="14"/>
      <c r="N747" s="14"/>
    </row>
    <row r="748" ht="14.25">
      <c r="A748" s="14">
        <v>746</v>
      </c>
      <c r="B748" s="14" t="str">
        <f t="shared" si="103"/>
        <v>Empl_746</v>
      </c>
      <c r="C748" s="14" t="s">
        <v>10</v>
      </c>
      <c r="D748" s="14">
        <v>34000</v>
      </c>
      <c r="E748" s="14">
        <f t="shared" ca="1" si="102"/>
        <v>30</v>
      </c>
      <c r="F748" s="14">
        <v>24</v>
      </c>
      <c r="G748" s="14">
        <f t="shared" si="104"/>
        <v>6</v>
      </c>
      <c r="H748" s="15">
        <f t="shared" si="105"/>
        <v>1416.6666666666667</v>
      </c>
      <c r="I748" s="15">
        <f t="shared" si="106"/>
        <v>34000</v>
      </c>
      <c r="J748" s="14">
        <f t="shared" si="107"/>
        <v>4080</v>
      </c>
      <c r="K748" s="15">
        <f t="shared" si="108"/>
        <v>255</v>
      </c>
      <c r="L748" s="15">
        <f t="shared" si="109"/>
        <v>29665</v>
      </c>
      <c r="M748" s="14"/>
      <c r="N748" s="14"/>
    </row>
    <row r="749" ht="14.25">
      <c r="A749" s="14">
        <v>747</v>
      </c>
      <c r="B749" s="14" t="str">
        <f t="shared" si="103"/>
        <v>Empl_747</v>
      </c>
      <c r="C749" s="14" t="s">
        <v>13</v>
      </c>
      <c r="D749" s="14">
        <v>47000</v>
      </c>
      <c r="E749" s="14">
        <f t="shared" ca="1" si="102"/>
        <v>30</v>
      </c>
      <c r="F749" s="14">
        <v>30</v>
      </c>
      <c r="G749" s="14">
        <f t="shared" si="104"/>
        <v>0</v>
      </c>
      <c r="H749" s="15">
        <f t="shared" si="105"/>
        <v>1566.6666666666667</v>
      </c>
      <c r="I749" s="15">
        <f t="shared" si="106"/>
        <v>47000</v>
      </c>
      <c r="J749" s="14">
        <f t="shared" si="107"/>
        <v>5640</v>
      </c>
      <c r="K749" s="15">
        <f t="shared" si="108"/>
        <v>352.5</v>
      </c>
      <c r="L749" s="15">
        <f t="shared" si="109"/>
        <v>41007.5</v>
      </c>
      <c r="M749" s="14"/>
      <c r="N749" s="14"/>
    </row>
    <row r="750" ht="14.25">
      <c r="A750" s="14">
        <v>748</v>
      </c>
      <c r="B750" s="14" t="str">
        <f t="shared" si="103"/>
        <v>Empl_748</v>
      </c>
      <c r="C750" s="14" t="s">
        <v>9</v>
      </c>
      <c r="D750" s="14">
        <v>34000</v>
      </c>
      <c r="E750" s="14">
        <f t="shared" ca="1" si="102"/>
        <v>30</v>
      </c>
      <c r="F750" s="14">
        <v>30</v>
      </c>
      <c r="G750" s="14">
        <f t="shared" si="104"/>
        <v>0</v>
      </c>
      <c r="H750" s="15">
        <f t="shared" si="105"/>
        <v>1133.3333333333333</v>
      </c>
      <c r="I750" s="15">
        <f t="shared" si="106"/>
        <v>34000</v>
      </c>
      <c r="J750" s="14">
        <f t="shared" si="107"/>
        <v>4080</v>
      </c>
      <c r="K750" s="15">
        <f t="shared" si="108"/>
        <v>255</v>
      </c>
      <c r="L750" s="15">
        <f t="shared" si="109"/>
        <v>29665</v>
      </c>
      <c r="M750" s="14"/>
      <c r="N750" s="14"/>
    </row>
    <row r="751" ht="14.25">
      <c r="A751" s="14">
        <v>749</v>
      </c>
      <c r="B751" s="14" t="str">
        <f t="shared" si="103"/>
        <v>Empl_749</v>
      </c>
      <c r="C751" s="14" t="s">
        <v>11</v>
      </c>
      <c r="D751" s="14">
        <v>39000</v>
      </c>
      <c r="E751" s="14">
        <f t="shared" ca="1" si="102"/>
        <v>30</v>
      </c>
      <c r="F751" s="14">
        <v>22</v>
      </c>
      <c r="G751" s="14">
        <f t="shared" si="104"/>
        <v>8</v>
      </c>
      <c r="H751" s="15">
        <f t="shared" si="105"/>
        <v>1772.7272727272727</v>
      </c>
      <c r="I751" s="15">
        <f t="shared" si="106"/>
        <v>39000</v>
      </c>
      <c r="J751" s="14">
        <f t="shared" si="107"/>
        <v>4680</v>
      </c>
      <c r="K751" s="15">
        <f t="shared" si="108"/>
        <v>292.5</v>
      </c>
      <c r="L751" s="15">
        <f t="shared" si="109"/>
        <v>34027.5</v>
      </c>
      <c r="M751" s="14"/>
      <c r="N751" s="14"/>
    </row>
    <row r="752" ht="14.25">
      <c r="A752" s="14">
        <v>750</v>
      </c>
      <c r="B752" s="14" t="str">
        <f t="shared" si="103"/>
        <v>Empl_750</v>
      </c>
      <c r="C752" s="14" t="s">
        <v>8</v>
      </c>
      <c r="D752" s="14">
        <v>30000</v>
      </c>
      <c r="E752" s="14">
        <f t="shared" ca="1" si="102"/>
        <v>30</v>
      </c>
      <c r="F752" s="14">
        <v>30</v>
      </c>
      <c r="G752" s="14">
        <f t="shared" si="104"/>
        <v>0</v>
      </c>
      <c r="H752" s="15">
        <f t="shared" si="105"/>
        <v>1000</v>
      </c>
      <c r="I752" s="15">
        <f t="shared" si="106"/>
        <v>30000</v>
      </c>
      <c r="J752" s="14">
        <f t="shared" si="107"/>
        <v>3600</v>
      </c>
      <c r="K752" s="15">
        <f t="shared" si="108"/>
        <v>225</v>
      </c>
      <c r="L752" s="15">
        <f t="shared" si="109"/>
        <v>26175</v>
      </c>
      <c r="M752" s="14"/>
      <c r="N752" s="14"/>
    </row>
    <row r="753" ht="14.25">
      <c r="A753" s="14">
        <v>751</v>
      </c>
      <c r="B753" s="14" t="str">
        <f t="shared" si="103"/>
        <v>Empl_751</v>
      </c>
      <c r="C753" s="14" t="s">
        <v>12</v>
      </c>
      <c r="D753" s="14">
        <v>48000</v>
      </c>
      <c r="E753" s="14">
        <f t="shared" ca="1" si="102"/>
        <v>30</v>
      </c>
      <c r="F753" s="14">
        <v>22</v>
      </c>
      <c r="G753" s="14">
        <f t="shared" si="104"/>
        <v>8</v>
      </c>
      <c r="H753" s="15">
        <f t="shared" si="105"/>
        <v>2181.818181818182</v>
      </c>
      <c r="I753" s="15">
        <f t="shared" si="106"/>
        <v>48000</v>
      </c>
      <c r="J753" s="14">
        <f t="shared" si="107"/>
        <v>5760</v>
      </c>
      <c r="K753" s="15">
        <f t="shared" si="108"/>
        <v>360</v>
      </c>
      <c r="L753" s="15">
        <f t="shared" si="109"/>
        <v>41880</v>
      </c>
      <c r="M753" s="14"/>
      <c r="N753" s="14"/>
    </row>
    <row r="754" ht="14.25">
      <c r="A754" s="14">
        <v>752</v>
      </c>
      <c r="B754" s="14" t="str">
        <f t="shared" si="103"/>
        <v>Empl_752</v>
      </c>
      <c r="C754" s="14" t="s">
        <v>10</v>
      </c>
      <c r="D754" s="14">
        <v>58000</v>
      </c>
      <c r="E754" s="14">
        <f t="shared" ca="1" si="102"/>
        <v>30</v>
      </c>
      <c r="F754" s="14">
        <v>22</v>
      </c>
      <c r="G754" s="14">
        <f t="shared" si="104"/>
        <v>8</v>
      </c>
      <c r="H754" s="15">
        <f t="shared" si="105"/>
        <v>2636.3636363636365</v>
      </c>
      <c r="I754" s="15">
        <f t="shared" si="106"/>
        <v>58000</v>
      </c>
      <c r="J754" s="14">
        <f t="shared" si="107"/>
        <v>6960</v>
      </c>
      <c r="K754" s="15">
        <f t="shared" si="108"/>
        <v>435</v>
      </c>
      <c r="L754" s="15">
        <f t="shared" si="109"/>
        <v>50605</v>
      </c>
      <c r="M754" s="14"/>
      <c r="N754" s="14"/>
    </row>
    <row r="755" ht="14.25">
      <c r="A755" s="14">
        <v>753</v>
      </c>
      <c r="B755" s="14" t="str">
        <f t="shared" si="103"/>
        <v>Empl_753</v>
      </c>
      <c r="C755" s="14" t="s">
        <v>13</v>
      </c>
      <c r="D755" s="14">
        <v>52000</v>
      </c>
      <c r="E755" s="14">
        <f t="shared" ca="1" si="102"/>
        <v>30</v>
      </c>
      <c r="F755" s="14">
        <v>21</v>
      </c>
      <c r="G755" s="14">
        <f t="shared" si="104"/>
        <v>9</v>
      </c>
      <c r="H755" s="15">
        <f t="shared" si="105"/>
        <v>2476.1904761904761</v>
      </c>
      <c r="I755" s="15">
        <f t="shared" si="106"/>
        <v>52000</v>
      </c>
      <c r="J755" s="14">
        <f t="shared" si="107"/>
        <v>6240</v>
      </c>
      <c r="K755" s="15">
        <f t="shared" si="108"/>
        <v>390</v>
      </c>
      <c r="L755" s="15">
        <f t="shared" si="109"/>
        <v>45370</v>
      </c>
      <c r="M755" s="14"/>
      <c r="N755" s="14"/>
    </row>
    <row r="756" ht="14.25">
      <c r="A756" s="14">
        <v>754</v>
      </c>
      <c r="B756" s="14" t="str">
        <f t="shared" si="103"/>
        <v>Empl_754</v>
      </c>
      <c r="C756" s="14" t="s">
        <v>9</v>
      </c>
      <c r="D756" s="14">
        <v>46000</v>
      </c>
      <c r="E756" s="14">
        <f t="shared" ca="1" si="102"/>
        <v>30</v>
      </c>
      <c r="F756" s="14">
        <v>29</v>
      </c>
      <c r="G756" s="14">
        <f t="shared" si="104"/>
        <v>1</v>
      </c>
      <c r="H756" s="15">
        <f t="shared" si="105"/>
        <v>1586.2068965517242</v>
      </c>
      <c r="I756" s="15">
        <f t="shared" si="106"/>
        <v>46000</v>
      </c>
      <c r="J756" s="14">
        <f t="shared" si="107"/>
        <v>5520</v>
      </c>
      <c r="K756" s="15">
        <f t="shared" si="108"/>
        <v>345</v>
      </c>
      <c r="L756" s="15">
        <f t="shared" si="109"/>
        <v>40135</v>
      </c>
      <c r="M756" s="14"/>
      <c r="N756" s="14"/>
    </row>
    <row r="757" ht="14.25">
      <c r="A757" s="14">
        <v>755</v>
      </c>
      <c r="B757" s="14" t="str">
        <f t="shared" si="103"/>
        <v>Empl_755</v>
      </c>
      <c r="C757" s="14" t="s">
        <v>11</v>
      </c>
      <c r="D757" s="14">
        <v>39000</v>
      </c>
      <c r="E757" s="14">
        <f t="shared" ca="1" si="102"/>
        <v>30</v>
      </c>
      <c r="F757" s="14">
        <v>27</v>
      </c>
      <c r="G757" s="14">
        <f t="shared" si="104"/>
        <v>3</v>
      </c>
      <c r="H757" s="15">
        <f t="shared" si="105"/>
        <v>1444.4444444444443</v>
      </c>
      <c r="I757" s="15">
        <f t="shared" si="106"/>
        <v>39000</v>
      </c>
      <c r="J757" s="14">
        <f t="shared" si="107"/>
        <v>4680</v>
      </c>
      <c r="K757" s="15">
        <f t="shared" si="108"/>
        <v>292.5</v>
      </c>
      <c r="L757" s="15">
        <f t="shared" si="109"/>
        <v>34027.5</v>
      </c>
      <c r="M757" s="14"/>
      <c r="N757" s="14"/>
    </row>
    <row r="758" ht="14.25">
      <c r="A758" s="14">
        <v>756</v>
      </c>
      <c r="B758" s="14" t="str">
        <f t="shared" si="103"/>
        <v>Empl_756</v>
      </c>
      <c r="C758" s="14" t="s">
        <v>8</v>
      </c>
      <c r="D758" s="14">
        <v>53000</v>
      </c>
      <c r="E758" s="14">
        <f t="shared" ca="1" si="102"/>
        <v>30</v>
      </c>
      <c r="F758" s="14">
        <v>26</v>
      </c>
      <c r="G758" s="14">
        <f t="shared" si="104"/>
        <v>4</v>
      </c>
      <c r="H758" s="15">
        <f t="shared" si="105"/>
        <v>2038.4615384615386</v>
      </c>
      <c r="I758" s="15">
        <f t="shared" si="106"/>
        <v>53000</v>
      </c>
      <c r="J758" s="14">
        <f t="shared" si="107"/>
        <v>6360</v>
      </c>
      <c r="K758" s="15">
        <f t="shared" si="108"/>
        <v>397.5</v>
      </c>
      <c r="L758" s="15">
        <f t="shared" si="109"/>
        <v>46242.5</v>
      </c>
      <c r="M758" s="14"/>
      <c r="N758" s="14"/>
    </row>
    <row r="759" ht="14.25">
      <c r="A759" s="14">
        <v>757</v>
      </c>
      <c r="B759" s="14" t="str">
        <f t="shared" si="103"/>
        <v>Empl_757</v>
      </c>
      <c r="C759" s="14" t="s">
        <v>12</v>
      </c>
      <c r="D759" s="14">
        <v>38000</v>
      </c>
      <c r="E759" s="14">
        <f t="shared" ca="1" si="102"/>
        <v>30</v>
      </c>
      <c r="F759" s="14">
        <v>25</v>
      </c>
      <c r="G759" s="14">
        <f t="shared" si="104"/>
        <v>5</v>
      </c>
      <c r="H759" s="15">
        <f t="shared" si="105"/>
        <v>1520</v>
      </c>
      <c r="I759" s="15">
        <f t="shared" si="106"/>
        <v>38000</v>
      </c>
      <c r="J759" s="14">
        <f t="shared" si="107"/>
        <v>4560</v>
      </c>
      <c r="K759" s="15">
        <f t="shared" si="108"/>
        <v>285</v>
      </c>
      <c r="L759" s="15">
        <f t="shared" si="109"/>
        <v>33155</v>
      </c>
      <c r="M759" s="14"/>
      <c r="N759" s="14"/>
    </row>
    <row r="760" ht="14.25">
      <c r="A760" s="14">
        <v>758</v>
      </c>
      <c r="B760" s="14" t="str">
        <f t="shared" si="103"/>
        <v>Empl_758</v>
      </c>
      <c r="C760" s="14" t="s">
        <v>10</v>
      </c>
      <c r="D760" s="14">
        <v>57000</v>
      </c>
      <c r="E760" s="14">
        <f t="shared" ca="1" si="102"/>
        <v>30</v>
      </c>
      <c r="F760" s="14">
        <v>28</v>
      </c>
      <c r="G760" s="14">
        <f t="shared" si="104"/>
        <v>2</v>
      </c>
      <c r="H760" s="15">
        <f t="shared" si="105"/>
        <v>2035.7142857142858</v>
      </c>
      <c r="I760" s="15">
        <f t="shared" si="106"/>
        <v>57000</v>
      </c>
      <c r="J760" s="14">
        <f t="shared" si="107"/>
        <v>6840</v>
      </c>
      <c r="K760" s="15">
        <f t="shared" si="108"/>
        <v>427.5</v>
      </c>
      <c r="L760" s="15">
        <f t="shared" si="109"/>
        <v>49732.5</v>
      </c>
      <c r="M760" s="14"/>
      <c r="N760" s="14"/>
    </row>
    <row r="761" ht="14.25">
      <c r="A761" s="14">
        <v>759</v>
      </c>
      <c r="B761" s="14" t="str">
        <f t="shared" si="103"/>
        <v>Empl_759</v>
      </c>
      <c r="C761" s="14" t="s">
        <v>13</v>
      </c>
      <c r="D761" s="14">
        <v>43000</v>
      </c>
      <c r="E761" s="14">
        <f t="shared" ca="1" si="102"/>
        <v>30</v>
      </c>
      <c r="F761" s="14">
        <v>20</v>
      </c>
      <c r="G761" s="14">
        <f t="shared" si="104"/>
        <v>10</v>
      </c>
      <c r="H761" s="15">
        <f t="shared" si="105"/>
        <v>2150</v>
      </c>
      <c r="I761" s="15">
        <f t="shared" si="106"/>
        <v>43000</v>
      </c>
      <c r="J761" s="14">
        <f t="shared" si="107"/>
        <v>5160</v>
      </c>
      <c r="K761" s="15">
        <f t="shared" si="108"/>
        <v>322.5</v>
      </c>
      <c r="L761" s="15">
        <f t="shared" si="109"/>
        <v>37517.5</v>
      </c>
      <c r="M761" s="14"/>
      <c r="N761" s="14"/>
    </row>
    <row r="762" ht="14.25">
      <c r="A762" s="14">
        <v>760</v>
      </c>
      <c r="B762" s="14" t="str">
        <f t="shared" si="103"/>
        <v>Empl_760</v>
      </c>
      <c r="C762" s="14" t="s">
        <v>9</v>
      </c>
      <c r="D762" s="14">
        <v>27000</v>
      </c>
      <c r="E762" s="14">
        <f t="shared" ca="1" si="102"/>
        <v>30</v>
      </c>
      <c r="F762" s="14">
        <v>24</v>
      </c>
      <c r="G762" s="14">
        <f t="shared" si="104"/>
        <v>6</v>
      </c>
      <c r="H762" s="15">
        <f t="shared" si="105"/>
        <v>1125</v>
      </c>
      <c r="I762" s="15">
        <f t="shared" si="106"/>
        <v>27000</v>
      </c>
      <c r="J762" s="14">
        <f t="shared" si="107"/>
        <v>3240</v>
      </c>
      <c r="K762" s="15">
        <f t="shared" si="108"/>
        <v>202.5</v>
      </c>
      <c r="L762" s="15">
        <f t="shared" si="109"/>
        <v>23557.5</v>
      </c>
      <c r="M762" s="14"/>
      <c r="N762" s="14"/>
    </row>
    <row r="763" ht="14.25">
      <c r="A763" s="14">
        <v>761</v>
      </c>
      <c r="B763" s="14" t="str">
        <f t="shared" si="103"/>
        <v>Empl_761</v>
      </c>
      <c r="C763" s="14" t="s">
        <v>11</v>
      </c>
      <c r="D763" s="14">
        <v>56000</v>
      </c>
      <c r="E763" s="14">
        <f t="shared" ca="1" si="102"/>
        <v>30</v>
      </c>
      <c r="F763" s="14">
        <v>21</v>
      </c>
      <c r="G763" s="14">
        <f t="shared" si="104"/>
        <v>9</v>
      </c>
      <c r="H763" s="15">
        <f t="shared" si="105"/>
        <v>2666.6666666666665</v>
      </c>
      <c r="I763" s="15">
        <f t="shared" si="106"/>
        <v>56000</v>
      </c>
      <c r="J763" s="14">
        <f t="shared" si="107"/>
        <v>6720</v>
      </c>
      <c r="K763" s="15">
        <f t="shared" si="108"/>
        <v>420</v>
      </c>
      <c r="L763" s="15">
        <f t="shared" si="109"/>
        <v>48860</v>
      </c>
      <c r="M763" s="14"/>
      <c r="N763" s="14"/>
    </row>
    <row r="764" ht="14.25">
      <c r="A764" s="14">
        <v>762</v>
      </c>
      <c r="B764" s="14" t="str">
        <f t="shared" si="103"/>
        <v>Empl_762</v>
      </c>
      <c r="C764" s="14" t="s">
        <v>8</v>
      </c>
      <c r="D764" s="14">
        <v>33000</v>
      </c>
      <c r="E764" s="14">
        <f t="shared" ca="1" si="102"/>
        <v>30</v>
      </c>
      <c r="F764" s="14">
        <v>22</v>
      </c>
      <c r="G764" s="14">
        <f t="shared" si="104"/>
        <v>8</v>
      </c>
      <c r="H764" s="15">
        <f t="shared" si="105"/>
        <v>1500</v>
      </c>
      <c r="I764" s="15">
        <f t="shared" si="106"/>
        <v>33000</v>
      </c>
      <c r="J764" s="14">
        <f t="shared" si="107"/>
        <v>3960</v>
      </c>
      <c r="K764" s="15">
        <f t="shared" si="108"/>
        <v>247.5</v>
      </c>
      <c r="L764" s="15">
        <f t="shared" si="109"/>
        <v>28792.5</v>
      </c>
      <c r="M764" s="14"/>
      <c r="N764" s="14"/>
    </row>
    <row r="765" ht="14.25">
      <c r="A765" s="14">
        <v>763</v>
      </c>
      <c r="B765" s="14" t="str">
        <f t="shared" si="103"/>
        <v>Empl_763</v>
      </c>
      <c r="C765" s="14" t="s">
        <v>12</v>
      </c>
      <c r="D765" s="14">
        <v>59000</v>
      </c>
      <c r="E765" s="14">
        <f t="shared" ca="1" si="102"/>
        <v>30</v>
      </c>
      <c r="F765" s="14">
        <v>27</v>
      </c>
      <c r="G765" s="14">
        <f t="shared" si="104"/>
        <v>3</v>
      </c>
      <c r="H765" s="15">
        <f t="shared" si="105"/>
        <v>2185.1851851851852</v>
      </c>
      <c r="I765" s="15">
        <f t="shared" si="106"/>
        <v>59000</v>
      </c>
      <c r="J765" s="14">
        <f t="shared" si="107"/>
        <v>7080</v>
      </c>
      <c r="K765" s="15">
        <f t="shared" si="108"/>
        <v>442.5</v>
      </c>
      <c r="L765" s="15">
        <f t="shared" si="109"/>
        <v>51477.5</v>
      </c>
      <c r="M765" s="14"/>
      <c r="N765" s="14"/>
    </row>
    <row r="766" ht="14.25">
      <c r="A766" s="14">
        <v>764</v>
      </c>
      <c r="B766" s="14" t="str">
        <f t="shared" si="103"/>
        <v>Empl_764</v>
      </c>
      <c r="C766" s="14" t="s">
        <v>10</v>
      </c>
      <c r="D766" s="14">
        <v>52000</v>
      </c>
      <c r="E766" s="14">
        <f t="shared" ca="1" si="102"/>
        <v>30</v>
      </c>
      <c r="F766" s="14">
        <v>29</v>
      </c>
      <c r="G766" s="14">
        <f t="shared" si="104"/>
        <v>1</v>
      </c>
      <c r="H766" s="15">
        <f t="shared" si="105"/>
        <v>1793.1034482758621</v>
      </c>
      <c r="I766" s="15">
        <f t="shared" si="106"/>
        <v>52000</v>
      </c>
      <c r="J766" s="14">
        <f t="shared" si="107"/>
        <v>6240</v>
      </c>
      <c r="K766" s="15">
        <f t="shared" si="108"/>
        <v>390</v>
      </c>
      <c r="L766" s="15">
        <f t="shared" si="109"/>
        <v>45370</v>
      </c>
      <c r="M766" s="14"/>
      <c r="N766" s="14"/>
    </row>
    <row r="767" ht="14.25">
      <c r="A767" s="14">
        <v>765</v>
      </c>
      <c r="B767" s="14" t="str">
        <f t="shared" si="103"/>
        <v>Empl_765</v>
      </c>
      <c r="C767" s="14" t="s">
        <v>13</v>
      </c>
      <c r="D767" s="14">
        <v>59000</v>
      </c>
      <c r="E767" s="14">
        <f t="shared" ca="1" si="102"/>
        <v>30</v>
      </c>
      <c r="F767" s="14">
        <v>25</v>
      </c>
      <c r="G767" s="14">
        <f t="shared" si="104"/>
        <v>5</v>
      </c>
      <c r="H767" s="15">
        <f t="shared" si="105"/>
        <v>2360</v>
      </c>
      <c r="I767" s="15">
        <f t="shared" si="106"/>
        <v>59000</v>
      </c>
      <c r="J767" s="14">
        <f t="shared" si="107"/>
        <v>7080</v>
      </c>
      <c r="K767" s="15">
        <f t="shared" si="108"/>
        <v>442.5</v>
      </c>
      <c r="L767" s="15">
        <f t="shared" si="109"/>
        <v>51477.5</v>
      </c>
      <c r="M767" s="14"/>
      <c r="N767" s="14"/>
    </row>
    <row r="768" ht="14.25">
      <c r="A768" s="14">
        <v>766</v>
      </c>
      <c r="B768" s="14" t="str">
        <f t="shared" si="103"/>
        <v>Empl_766</v>
      </c>
      <c r="C768" s="14" t="s">
        <v>9</v>
      </c>
      <c r="D768" s="14">
        <v>19000</v>
      </c>
      <c r="E768" s="14">
        <f t="shared" ca="1" si="102"/>
        <v>30</v>
      </c>
      <c r="F768" s="14">
        <v>21</v>
      </c>
      <c r="G768" s="14">
        <f t="shared" si="104"/>
        <v>9</v>
      </c>
      <c r="H768" s="15">
        <f t="shared" si="105"/>
        <v>904.76190476190482</v>
      </c>
      <c r="I768" s="15">
        <f t="shared" si="106"/>
        <v>19000</v>
      </c>
      <c r="J768" s="14">
        <f t="shared" si="107"/>
        <v>2280</v>
      </c>
      <c r="K768" s="15">
        <f t="shared" si="108"/>
        <v>142.5</v>
      </c>
      <c r="L768" s="15">
        <f t="shared" si="109"/>
        <v>16577.5</v>
      </c>
      <c r="M768" s="14"/>
      <c r="N768" s="14"/>
    </row>
    <row r="769" ht="14.25">
      <c r="A769" s="14">
        <v>767</v>
      </c>
      <c r="B769" s="14" t="str">
        <f t="shared" si="103"/>
        <v>Empl_767</v>
      </c>
      <c r="C769" s="14" t="s">
        <v>11</v>
      </c>
      <c r="D769" s="14">
        <v>18000</v>
      </c>
      <c r="E769" s="14">
        <f t="shared" ca="1" si="102"/>
        <v>30</v>
      </c>
      <c r="F769" s="14">
        <v>25</v>
      </c>
      <c r="G769" s="14">
        <f t="shared" si="104"/>
        <v>5</v>
      </c>
      <c r="H769" s="15">
        <f t="shared" si="105"/>
        <v>720</v>
      </c>
      <c r="I769" s="15">
        <f t="shared" si="106"/>
        <v>18000</v>
      </c>
      <c r="J769" s="14">
        <f t="shared" si="107"/>
        <v>2160</v>
      </c>
      <c r="K769" s="15">
        <f t="shared" si="108"/>
        <v>135</v>
      </c>
      <c r="L769" s="15">
        <f t="shared" si="109"/>
        <v>15705</v>
      </c>
      <c r="M769" s="14"/>
      <c r="N769" s="14"/>
    </row>
    <row r="770" ht="14.25">
      <c r="A770" s="14">
        <v>768</v>
      </c>
      <c r="B770" s="14" t="str">
        <f t="shared" si="103"/>
        <v>Empl_768</v>
      </c>
      <c r="C770" s="14" t="s">
        <v>8</v>
      </c>
      <c r="D770" s="14">
        <v>36000</v>
      </c>
      <c r="E770" s="14">
        <f t="shared" ca="1" si="102"/>
        <v>30</v>
      </c>
      <c r="F770" s="14">
        <v>23</v>
      </c>
      <c r="G770" s="14">
        <f t="shared" si="104"/>
        <v>7</v>
      </c>
      <c r="H770" s="15">
        <f t="shared" si="105"/>
        <v>1565.2173913043478</v>
      </c>
      <c r="I770" s="15">
        <f t="shared" si="106"/>
        <v>36000</v>
      </c>
      <c r="J770" s="14">
        <f t="shared" si="107"/>
        <v>4320</v>
      </c>
      <c r="K770" s="15">
        <f t="shared" si="108"/>
        <v>270</v>
      </c>
      <c r="L770" s="15">
        <f t="shared" si="109"/>
        <v>31410</v>
      </c>
      <c r="M770" s="14"/>
      <c r="N770" s="14"/>
    </row>
    <row r="771" ht="14.25">
      <c r="A771" s="14">
        <v>769</v>
      </c>
      <c r="B771" s="14" t="str">
        <f t="shared" si="103"/>
        <v>Empl_769</v>
      </c>
      <c r="C771" s="14" t="s">
        <v>12</v>
      </c>
      <c r="D771" s="14">
        <v>21000</v>
      </c>
      <c r="E771" s="14">
        <f t="shared" ref="E771:E834" ca="1" si="110">DAY(EOMONTH(TODAY(),0))</f>
        <v>30</v>
      </c>
      <c r="F771" s="14">
        <v>21</v>
      </c>
      <c r="G771" s="14">
        <f t="shared" si="104"/>
        <v>9</v>
      </c>
      <c r="H771" s="15">
        <f t="shared" si="105"/>
        <v>1000</v>
      </c>
      <c r="I771" s="15">
        <f t="shared" si="106"/>
        <v>21000</v>
      </c>
      <c r="J771" s="14">
        <f t="shared" si="107"/>
        <v>2520</v>
      </c>
      <c r="K771" s="15">
        <f t="shared" si="108"/>
        <v>157.5</v>
      </c>
      <c r="L771" s="15">
        <f t="shared" si="109"/>
        <v>18322.5</v>
      </c>
      <c r="M771" s="14"/>
      <c r="N771" s="14"/>
    </row>
    <row r="772" ht="14.25">
      <c r="A772" s="14">
        <v>770</v>
      </c>
      <c r="B772" s="14" t="str">
        <f t="shared" si="103"/>
        <v>Empl_770</v>
      </c>
      <c r="C772" s="14" t="s">
        <v>10</v>
      </c>
      <c r="D772" s="14">
        <v>54000</v>
      </c>
      <c r="E772" s="14">
        <f t="shared" ca="1" si="110"/>
        <v>30</v>
      </c>
      <c r="F772" s="14">
        <v>25</v>
      </c>
      <c r="G772" s="14">
        <f t="shared" si="104"/>
        <v>5</v>
      </c>
      <c r="H772" s="15">
        <f t="shared" si="105"/>
        <v>2160</v>
      </c>
      <c r="I772" s="15">
        <f t="shared" si="106"/>
        <v>54000</v>
      </c>
      <c r="J772" s="14">
        <f t="shared" si="107"/>
        <v>6480</v>
      </c>
      <c r="K772" s="15">
        <f t="shared" si="108"/>
        <v>405</v>
      </c>
      <c r="L772" s="15">
        <f t="shared" si="109"/>
        <v>47115</v>
      </c>
      <c r="M772" s="14"/>
      <c r="N772" s="14"/>
    </row>
    <row r="773" ht="14.25">
      <c r="A773" s="14">
        <v>771</v>
      </c>
      <c r="B773" s="14" t="str">
        <f t="shared" si="103"/>
        <v>Empl_771</v>
      </c>
      <c r="C773" s="14" t="s">
        <v>13</v>
      </c>
      <c r="D773" s="14">
        <v>17000</v>
      </c>
      <c r="E773" s="14">
        <f t="shared" ca="1" si="110"/>
        <v>30</v>
      </c>
      <c r="F773" s="14">
        <v>27</v>
      </c>
      <c r="G773" s="14">
        <f t="shared" si="104"/>
        <v>3</v>
      </c>
      <c r="H773" s="15">
        <f t="shared" si="105"/>
        <v>629.62962962962968</v>
      </c>
      <c r="I773" s="15">
        <f t="shared" si="106"/>
        <v>17000</v>
      </c>
      <c r="J773" s="14">
        <f t="shared" si="107"/>
        <v>2040</v>
      </c>
      <c r="K773" s="15">
        <f t="shared" si="108"/>
        <v>127.5</v>
      </c>
      <c r="L773" s="15">
        <f t="shared" si="109"/>
        <v>14832.5</v>
      </c>
      <c r="M773" s="14"/>
      <c r="N773" s="14"/>
    </row>
    <row r="774" ht="14.25">
      <c r="A774" s="14">
        <v>772</v>
      </c>
      <c r="B774" s="14" t="str">
        <f t="shared" si="103"/>
        <v>Empl_772</v>
      </c>
      <c r="C774" s="14" t="s">
        <v>9</v>
      </c>
      <c r="D774" s="14">
        <v>39000</v>
      </c>
      <c r="E774" s="14">
        <f t="shared" ca="1" si="110"/>
        <v>30</v>
      </c>
      <c r="F774" s="14">
        <v>30</v>
      </c>
      <c r="G774" s="14">
        <f t="shared" si="104"/>
        <v>0</v>
      </c>
      <c r="H774" s="15">
        <f t="shared" si="105"/>
        <v>1300</v>
      </c>
      <c r="I774" s="15">
        <f t="shared" si="106"/>
        <v>39000</v>
      </c>
      <c r="J774" s="14">
        <f t="shared" si="107"/>
        <v>4680</v>
      </c>
      <c r="K774" s="15">
        <f t="shared" si="108"/>
        <v>292.5</v>
      </c>
      <c r="L774" s="15">
        <f t="shared" si="109"/>
        <v>34027.5</v>
      </c>
      <c r="M774" s="14"/>
      <c r="N774" s="14"/>
    </row>
    <row r="775" ht="14.25">
      <c r="A775" s="14">
        <v>773</v>
      </c>
      <c r="B775" s="14" t="str">
        <f t="shared" si="103"/>
        <v>Empl_773</v>
      </c>
      <c r="C775" s="14" t="s">
        <v>11</v>
      </c>
      <c r="D775" s="14">
        <v>51000</v>
      </c>
      <c r="E775" s="14">
        <f t="shared" ca="1" si="110"/>
        <v>30</v>
      </c>
      <c r="F775" s="14">
        <v>26</v>
      </c>
      <c r="G775" s="14">
        <f t="shared" si="104"/>
        <v>4</v>
      </c>
      <c r="H775" s="15">
        <f t="shared" si="105"/>
        <v>1961.5384615384614</v>
      </c>
      <c r="I775" s="15">
        <f t="shared" si="106"/>
        <v>51000</v>
      </c>
      <c r="J775" s="14">
        <f t="shared" si="107"/>
        <v>6120</v>
      </c>
      <c r="K775" s="15">
        <f t="shared" si="108"/>
        <v>382.5</v>
      </c>
      <c r="L775" s="15">
        <f t="shared" si="109"/>
        <v>44497.5</v>
      </c>
      <c r="M775" s="14"/>
      <c r="N775" s="14"/>
    </row>
    <row r="776" ht="14.25">
      <c r="A776" s="14">
        <v>774</v>
      </c>
      <c r="B776" s="14" t="str">
        <f t="shared" si="103"/>
        <v>Empl_774</v>
      </c>
      <c r="C776" s="14" t="s">
        <v>8</v>
      </c>
      <c r="D776" s="14">
        <v>21000</v>
      </c>
      <c r="E776" s="14">
        <f t="shared" ca="1" si="110"/>
        <v>30</v>
      </c>
      <c r="F776" s="14">
        <v>28</v>
      </c>
      <c r="G776" s="14">
        <f t="shared" si="104"/>
        <v>2</v>
      </c>
      <c r="H776" s="15">
        <f t="shared" si="105"/>
        <v>750</v>
      </c>
      <c r="I776" s="15">
        <f t="shared" si="106"/>
        <v>21000</v>
      </c>
      <c r="J776" s="14">
        <f t="shared" si="107"/>
        <v>2520</v>
      </c>
      <c r="K776" s="15">
        <f t="shared" si="108"/>
        <v>157.5</v>
      </c>
      <c r="L776" s="15">
        <f t="shared" si="109"/>
        <v>18322.5</v>
      </c>
      <c r="M776" s="14"/>
      <c r="N776" s="14"/>
    </row>
    <row r="777" ht="14.25">
      <c r="A777" s="14">
        <v>775</v>
      </c>
      <c r="B777" s="14" t="str">
        <f t="shared" si="103"/>
        <v>Empl_775</v>
      </c>
      <c r="C777" s="14" t="s">
        <v>12</v>
      </c>
      <c r="D777" s="14">
        <v>15000</v>
      </c>
      <c r="E777" s="14">
        <f t="shared" ca="1" si="110"/>
        <v>30</v>
      </c>
      <c r="F777" s="14">
        <v>22</v>
      </c>
      <c r="G777" s="14">
        <f t="shared" si="104"/>
        <v>8</v>
      </c>
      <c r="H777" s="15">
        <f t="shared" si="105"/>
        <v>681.81818181818187</v>
      </c>
      <c r="I777" s="15">
        <f t="shared" si="106"/>
        <v>15000.000000000002</v>
      </c>
      <c r="J777" s="14">
        <f t="shared" si="107"/>
        <v>1800.0000000000002</v>
      </c>
      <c r="K777" s="15">
        <f t="shared" si="108"/>
        <v>112.50000000000001</v>
      </c>
      <c r="L777" s="15">
        <f t="shared" si="109"/>
        <v>13087.500000000002</v>
      </c>
      <c r="M777" s="14"/>
      <c r="N777" s="14"/>
    </row>
    <row r="778" ht="14.25">
      <c r="A778" s="14">
        <v>776</v>
      </c>
      <c r="B778" s="14" t="str">
        <f t="shared" si="103"/>
        <v>Empl_776</v>
      </c>
      <c r="C778" s="14" t="s">
        <v>10</v>
      </c>
      <c r="D778" s="14">
        <v>35000</v>
      </c>
      <c r="E778" s="14">
        <f t="shared" ca="1" si="110"/>
        <v>30</v>
      </c>
      <c r="F778" s="14">
        <v>22</v>
      </c>
      <c r="G778" s="14">
        <f t="shared" si="104"/>
        <v>8</v>
      </c>
      <c r="H778" s="15">
        <f t="shared" si="105"/>
        <v>1590.909090909091</v>
      </c>
      <c r="I778" s="15">
        <f t="shared" si="106"/>
        <v>35000</v>
      </c>
      <c r="J778" s="14">
        <f t="shared" si="107"/>
        <v>4200</v>
      </c>
      <c r="K778" s="15">
        <f t="shared" si="108"/>
        <v>262.5</v>
      </c>
      <c r="L778" s="15">
        <f t="shared" si="109"/>
        <v>30537.5</v>
      </c>
      <c r="M778" s="14"/>
      <c r="N778" s="14"/>
    </row>
    <row r="779" ht="14.25">
      <c r="A779" s="14">
        <v>777</v>
      </c>
      <c r="B779" s="14" t="str">
        <f t="shared" si="103"/>
        <v>Empl_777</v>
      </c>
      <c r="C779" s="14" t="s">
        <v>13</v>
      </c>
      <c r="D779" s="14">
        <v>51000</v>
      </c>
      <c r="E779" s="14">
        <f t="shared" ca="1" si="110"/>
        <v>30</v>
      </c>
      <c r="F779" s="14">
        <v>21</v>
      </c>
      <c r="G779" s="14">
        <f t="shared" si="104"/>
        <v>9</v>
      </c>
      <c r="H779" s="15">
        <f t="shared" si="105"/>
        <v>2428.5714285714284</v>
      </c>
      <c r="I779" s="15">
        <f t="shared" si="106"/>
        <v>51000</v>
      </c>
      <c r="J779" s="14">
        <f t="shared" si="107"/>
        <v>6120</v>
      </c>
      <c r="K779" s="15">
        <f t="shared" si="108"/>
        <v>382.5</v>
      </c>
      <c r="L779" s="15">
        <f t="shared" si="109"/>
        <v>44497.5</v>
      </c>
      <c r="M779" s="14"/>
      <c r="N779" s="14"/>
    </row>
    <row r="780" ht="14.25">
      <c r="A780" s="14">
        <v>778</v>
      </c>
      <c r="B780" s="14" t="str">
        <f t="shared" si="103"/>
        <v>Empl_778</v>
      </c>
      <c r="C780" s="14" t="s">
        <v>9</v>
      </c>
      <c r="D780" s="14">
        <v>33000</v>
      </c>
      <c r="E780" s="14">
        <f t="shared" ca="1" si="110"/>
        <v>30</v>
      </c>
      <c r="F780" s="14">
        <v>26</v>
      </c>
      <c r="G780" s="14">
        <f t="shared" si="104"/>
        <v>4</v>
      </c>
      <c r="H780" s="15">
        <f t="shared" si="105"/>
        <v>1269.2307692307693</v>
      </c>
      <c r="I780" s="15">
        <f t="shared" si="106"/>
        <v>33000</v>
      </c>
      <c r="J780" s="14">
        <f t="shared" si="107"/>
        <v>3960</v>
      </c>
      <c r="K780" s="15">
        <f t="shared" si="108"/>
        <v>247.5</v>
      </c>
      <c r="L780" s="15">
        <f t="shared" si="109"/>
        <v>28792.5</v>
      </c>
      <c r="M780" s="14"/>
      <c r="N780" s="14"/>
    </row>
    <row r="781" ht="14.25">
      <c r="A781" s="14">
        <v>779</v>
      </c>
      <c r="B781" s="14" t="str">
        <f t="shared" si="103"/>
        <v>Empl_779</v>
      </c>
      <c r="C781" s="14" t="s">
        <v>11</v>
      </c>
      <c r="D781" s="14">
        <v>56000</v>
      </c>
      <c r="E781" s="14">
        <f t="shared" ca="1" si="110"/>
        <v>30</v>
      </c>
      <c r="F781" s="14">
        <v>25</v>
      </c>
      <c r="G781" s="14">
        <f t="shared" si="104"/>
        <v>5</v>
      </c>
      <c r="H781" s="15">
        <f t="shared" si="105"/>
        <v>2240</v>
      </c>
      <c r="I781" s="15">
        <f t="shared" si="106"/>
        <v>56000</v>
      </c>
      <c r="J781" s="14">
        <f t="shared" si="107"/>
        <v>6720</v>
      </c>
      <c r="K781" s="15">
        <f t="shared" si="108"/>
        <v>420</v>
      </c>
      <c r="L781" s="15">
        <f t="shared" si="109"/>
        <v>48860</v>
      </c>
      <c r="M781" s="14"/>
      <c r="N781" s="14"/>
    </row>
    <row r="782" ht="14.25">
      <c r="A782" s="14">
        <v>780</v>
      </c>
      <c r="B782" s="14" t="str">
        <f t="shared" si="103"/>
        <v>Empl_780</v>
      </c>
      <c r="C782" s="14" t="s">
        <v>8</v>
      </c>
      <c r="D782" s="14">
        <v>25000</v>
      </c>
      <c r="E782" s="14">
        <f t="shared" ca="1" si="110"/>
        <v>30</v>
      </c>
      <c r="F782" s="14">
        <v>22</v>
      </c>
      <c r="G782" s="14">
        <f t="shared" si="104"/>
        <v>8</v>
      </c>
      <c r="H782" s="15">
        <f t="shared" si="105"/>
        <v>1136.3636363636363</v>
      </c>
      <c r="I782" s="15">
        <f t="shared" si="106"/>
        <v>24999.999999999996</v>
      </c>
      <c r="J782" s="14">
        <f t="shared" si="107"/>
        <v>2999.9999999999995</v>
      </c>
      <c r="K782" s="15">
        <f t="shared" si="108"/>
        <v>187.49999999999997</v>
      </c>
      <c r="L782" s="15">
        <f t="shared" si="109"/>
        <v>21812.499999999996</v>
      </c>
      <c r="M782" s="14"/>
      <c r="N782" s="14"/>
    </row>
    <row r="783" ht="14.25">
      <c r="A783" s="14">
        <v>781</v>
      </c>
      <c r="B783" s="14" t="str">
        <f t="shared" si="103"/>
        <v>Empl_781</v>
      </c>
      <c r="C783" s="14" t="s">
        <v>12</v>
      </c>
      <c r="D783" s="14">
        <v>34000</v>
      </c>
      <c r="E783" s="14">
        <f t="shared" ca="1" si="110"/>
        <v>30</v>
      </c>
      <c r="F783" s="14">
        <v>26</v>
      </c>
      <c r="G783" s="14">
        <f t="shared" si="104"/>
        <v>4</v>
      </c>
      <c r="H783" s="15">
        <f t="shared" si="105"/>
        <v>1307.6923076923076</v>
      </c>
      <c r="I783" s="15">
        <f t="shared" si="106"/>
        <v>34000</v>
      </c>
      <c r="J783" s="14">
        <f t="shared" si="107"/>
        <v>4080</v>
      </c>
      <c r="K783" s="15">
        <f t="shared" si="108"/>
        <v>255</v>
      </c>
      <c r="L783" s="15">
        <f t="shared" si="109"/>
        <v>29665</v>
      </c>
      <c r="M783" s="14"/>
      <c r="N783" s="14"/>
    </row>
    <row r="784" ht="14.25">
      <c r="A784" s="14">
        <v>782</v>
      </c>
      <c r="B784" s="14" t="str">
        <f t="shared" si="103"/>
        <v>Empl_782</v>
      </c>
      <c r="C784" s="14" t="s">
        <v>10</v>
      </c>
      <c r="D784" s="14">
        <v>24000</v>
      </c>
      <c r="E784" s="14">
        <f t="shared" ca="1" si="110"/>
        <v>30</v>
      </c>
      <c r="F784" s="14">
        <v>22</v>
      </c>
      <c r="G784" s="14">
        <f t="shared" si="104"/>
        <v>8</v>
      </c>
      <c r="H784" s="15">
        <f t="shared" si="105"/>
        <v>1090.909090909091</v>
      </c>
      <c r="I784" s="15">
        <f t="shared" si="106"/>
        <v>24000</v>
      </c>
      <c r="J784" s="14">
        <f t="shared" si="107"/>
        <v>2880</v>
      </c>
      <c r="K784" s="15">
        <f t="shared" si="108"/>
        <v>180</v>
      </c>
      <c r="L784" s="15">
        <f t="shared" si="109"/>
        <v>20940</v>
      </c>
      <c r="M784" s="14"/>
      <c r="N784" s="14"/>
    </row>
    <row r="785" ht="14.25">
      <c r="A785" s="14">
        <v>783</v>
      </c>
      <c r="B785" s="14" t="str">
        <f t="shared" si="103"/>
        <v>Empl_783</v>
      </c>
      <c r="C785" s="14" t="s">
        <v>13</v>
      </c>
      <c r="D785" s="14">
        <v>59000</v>
      </c>
      <c r="E785" s="14">
        <f t="shared" ca="1" si="110"/>
        <v>30</v>
      </c>
      <c r="F785" s="14">
        <v>26</v>
      </c>
      <c r="G785" s="14">
        <f t="shared" si="104"/>
        <v>4</v>
      </c>
      <c r="H785" s="15">
        <f t="shared" si="105"/>
        <v>2269.2307692307691</v>
      </c>
      <c r="I785" s="15">
        <f t="shared" si="106"/>
        <v>58999.999999999993</v>
      </c>
      <c r="J785" s="14">
        <f t="shared" si="107"/>
        <v>7079.9999999999991</v>
      </c>
      <c r="K785" s="15">
        <f t="shared" si="108"/>
        <v>442.49999999999994</v>
      </c>
      <c r="L785" s="15">
        <f t="shared" si="109"/>
        <v>51477.499999999993</v>
      </c>
      <c r="M785" s="14"/>
      <c r="N785" s="14"/>
    </row>
    <row r="786" ht="14.25">
      <c r="A786" s="14">
        <v>784</v>
      </c>
      <c r="B786" s="14" t="str">
        <f t="shared" si="103"/>
        <v>Empl_784</v>
      </c>
      <c r="C786" s="14" t="s">
        <v>9</v>
      </c>
      <c r="D786" s="14">
        <v>35000</v>
      </c>
      <c r="E786" s="14">
        <f t="shared" ca="1" si="110"/>
        <v>30</v>
      </c>
      <c r="F786" s="14">
        <v>30</v>
      </c>
      <c r="G786" s="14">
        <f t="shared" si="104"/>
        <v>0</v>
      </c>
      <c r="H786" s="15">
        <f t="shared" si="105"/>
        <v>1166.6666666666667</v>
      </c>
      <c r="I786" s="15">
        <f t="shared" si="106"/>
        <v>35000</v>
      </c>
      <c r="J786" s="14">
        <f t="shared" si="107"/>
        <v>4200</v>
      </c>
      <c r="K786" s="15">
        <f t="shared" si="108"/>
        <v>262.5</v>
      </c>
      <c r="L786" s="15">
        <f t="shared" si="109"/>
        <v>30537.5</v>
      </c>
      <c r="M786" s="14"/>
      <c r="N786" s="14"/>
    </row>
    <row r="787" ht="14.25">
      <c r="A787" s="14">
        <v>785</v>
      </c>
      <c r="B787" s="14" t="str">
        <f t="shared" si="103"/>
        <v>Empl_785</v>
      </c>
      <c r="C787" s="14" t="s">
        <v>11</v>
      </c>
      <c r="D787" s="14">
        <v>36000</v>
      </c>
      <c r="E787" s="14">
        <f t="shared" ca="1" si="110"/>
        <v>30</v>
      </c>
      <c r="F787" s="14">
        <v>20</v>
      </c>
      <c r="G787" s="14">
        <f t="shared" si="104"/>
        <v>10</v>
      </c>
      <c r="H787" s="15">
        <f t="shared" si="105"/>
        <v>1800</v>
      </c>
      <c r="I787" s="15">
        <f t="shared" si="106"/>
        <v>36000</v>
      </c>
      <c r="J787" s="14">
        <f t="shared" si="107"/>
        <v>4320</v>
      </c>
      <c r="K787" s="15">
        <f t="shared" si="108"/>
        <v>270</v>
      </c>
      <c r="L787" s="15">
        <f t="shared" si="109"/>
        <v>31410</v>
      </c>
      <c r="M787" s="14"/>
      <c r="N787" s="14"/>
    </row>
    <row r="788" ht="14.25">
      <c r="A788" s="14">
        <v>786</v>
      </c>
      <c r="B788" s="14" t="str">
        <f t="shared" si="103"/>
        <v>Empl_786</v>
      </c>
      <c r="C788" s="14" t="s">
        <v>8</v>
      </c>
      <c r="D788" s="14">
        <v>44000</v>
      </c>
      <c r="E788" s="14">
        <f t="shared" ca="1" si="110"/>
        <v>30</v>
      </c>
      <c r="F788" s="14">
        <v>28</v>
      </c>
      <c r="G788" s="14">
        <f t="shared" si="104"/>
        <v>2</v>
      </c>
      <c r="H788" s="15">
        <f t="shared" si="105"/>
        <v>1571.4285714285713</v>
      </c>
      <c r="I788" s="15">
        <f t="shared" si="106"/>
        <v>44000</v>
      </c>
      <c r="J788" s="14">
        <f t="shared" si="107"/>
        <v>5280</v>
      </c>
      <c r="K788" s="15">
        <f t="shared" si="108"/>
        <v>330</v>
      </c>
      <c r="L788" s="15">
        <f t="shared" si="109"/>
        <v>38390</v>
      </c>
      <c r="M788" s="14"/>
      <c r="N788" s="14"/>
    </row>
    <row r="789" ht="14.25">
      <c r="A789" s="14">
        <v>787</v>
      </c>
      <c r="B789" s="14" t="str">
        <f t="shared" si="103"/>
        <v>Empl_787</v>
      </c>
      <c r="C789" s="14" t="s">
        <v>12</v>
      </c>
      <c r="D789" s="14">
        <v>16000</v>
      </c>
      <c r="E789" s="14">
        <f t="shared" ca="1" si="110"/>
        <v>30</v>
      </c>
      <c r="F789" s="14">
        <v>30</v>
      </c>
      <c r="G789" s="14">
        <f t="shared" si="104"/>
        <v>0</v>
      </c>
      <c r="H789" s="15">
        <f t="shared" si="105"/>
        <v>533.33333333333337</v>
      </c>
      <c r="I789" s="15">
        <f t="shared" si="106"/>
        <v>16000.000000000002</v>
      </c>
      <c r="J789" s="14">
        <f t="shared" si="107"/>
        <v>1920.0000000000002</v>
      </c>
      <c r="K789" s="15">
        <f t="shared" si="108"/>
        <v>120.00000000000001</v>
      </c>
      <c r="L789" s="15">
        <f t="shared" si="109"/>
        <v>13960.000000000002</v>
      </c>
      <c r="M789" s="14"/>
      <c r="N789" s="14"/>
    </row>
    <row r="790" ht="14.25">
      <c r="A790" s="14">
        <v>788</v>
      </c>
      <c r="B790" s="14" t="str">
        <f t="shared" si="103"/>
        <v>Empl_788</v>
      </c>
      <c r="C790" s="14" t="s">
        <v>10</v>
      </c>
      <c r="D790" s="14">
        <v>49000</v>
      </c>
      <c r="E790" s="14">
        <f t="shared" ca="1" si="110"/>
        <v>30</v>
      </c>
      <c r="F790" s="14">
        <v>25</v>
      </c>
      <c r="G790" s="14">
        <f t="shared" si="104"/>
        <v>5</v>
      </c>
      <c r="H790" s="15">
        <f t="shared" si="105"/>
        <v>1960</v>
      </c>
      <c r="I790" s="15">
        <f t="shared" si="106"/>
        <v>49000</v>
      </c>
      <c r="J790" s="14">
        <f t="shared" si="107"/>
        <v>5880</v>
      </c>
      <c r="K790" s="15">
        <f t="shared" si="108"/>
        <v>367.5</v>
      </c>
      <c r="L790" s="15">
        <f t="shared" si="109"/>
        <v>42752.5</v>
      </c>
      <c r="M790" s="14"/>
      <c r="N790" s="14"/>
    </row>
    <row r="791" ht="14.25">
      <c r="A791" s="14">
        <v>789</v>
      </c>
      <c r="B791" s="14" t="str">
        <f t="shared" si="103"/>
        <v>Empl_789</v>
      </c>
      <c r="C791" s="14" t="s">
        <v>13</v>
      </c>
      <c r="D791" s="14">
        <v>40000</v>
      </c>
      <c r="E791" s="14">
        <f t="shared" ca="1" si="110"/>
        <v>30</v>
      </c>
      <c r="F791" s="14">
        <v>30</v>
      </c>
      <c r="G791" s="14">
        <f t="shared" si="104"/>
        <v>0</v>
      </c>
      <c r="H791" s="15">
        <f t="shared" si="105"/>
        <v>1333.3333333333333</v>
      </c>
      <c r="I791" s="15">
        <f t="shared" si="106"/>
        <v>40000</v>
      </c>
      <c r="J791" s="14">
        <f t="shared" si="107"/>
        <v>4800</v>
      </c>
      <c r="K791" s="15">
        <f t="shared" si="108"/>
        <v>300</v>
      </c>
      <c r="L791" s="15">
        <f t="shared" si="109"/>
        <v>34900</v>
      </c>
      <c r="M791" s="14"/>
      <c r="N791" s="14"/>
    </row>
    <row r="792" ht="14.25">
      <c r="A792" s="14">
        <v>790</v>
      </c>
      <c r="B792" s="14" t="str">
        <f t="shared" si="103"/>
        <v>Empl_790</v>
      </c>
      <c r="C792" s="14" t="s">
        <v>9</v>
      </c>
      <c r="D792" s="14">
        <v>34000</v>
      </c>
      <c r="E792" s="14">
        <f t="shared" ca="1" si="110"/>
        <v>30</v>
      </c>
      <c r="F792" s="14">
        <v>22</v>
      </c>
      <c r="G792" s="14">
        <f t="shared" si="104"/>
        <v>8</v>
      </c>
      <c r="H792" s="15">
        <f t="shared" si="105"/>
        <v>1545.4545454545455</v>
      </c>
      <c r="I792" s="15">
        <f t="shared" si="106"/>
        <v>34000</v>
      </c>
      <c r="J792" s="14">
        <f t="shared" si="107"/>
        <v>4080</v>
      </c>
      <c r="K792" s="15">
        <f t="shared" si="108"/>
        <v>255</v>
      </c>
      <c r="L792" s="15">
        <f t="shared" si="109"/>
        <v>29665</v>
      </c>
      <c r="M792" s="14"/>
      <c r="N792" s="14"/>
    </row>
    <row r="793" ht="14.25">
      <c r="A793" s="14">
        <v>791</v>
      </c>
      <c r="B793" s="14" t="str">
        <f t="shared" si="103"/>
        <v>Empl_791</v>
      </c>
      <c r="C793" s="14" t="s">
        <v>11</v>
      </c>
      <c r="D793" s="14">
        <v>43000</v>
      </c>
      <c r="E793" s="14">
        <f t="shared" ca="1" si="110"/>
        <v>30</v>
      </c>
      <c r="F793" s="14">
        <v>25</v>
      </c>
      <c r="G793" s="14">
        <f t="shared" si="104"/>
        <v>5</v>
      </c>
      <c r="H793" s="15">
        <f t="shared" si="105"/>
        <v>1720</v>
      </c>
      <c r="I793" s="15">
        <f t="shared" si="106"/>
        <v>43000</v>
      </c>
      <c r="J793" s="14">
        <f t="shared" si="107"/>
        <v>5160</v>
      </c>
      <c r="K793" s="15">
        <f t="shared" si="108"/>
        <v>322.5</v>
      </c>
      <c r="L793" s="15">
        <f t="shared" si="109"/>
        <v>37517.5</v>
      </c>
      <c r="M793" s="14"/>
      <c r="N793" s="14"/>
    </row>
    <row r="794" ht="14.25">
      <c r="A794" s="14">
        <v>792</v>
      </c>
      <c r="B794" s="14" t="str">
        <f t="shared" si="103"/>
        <v>Empl_792</v>
      </c>
      <c r="C794" s="14" t="s">
        <v>8</v>
      </c>
      <c r="D794" s="14">
        <v>38000</v>
      </c>
      <c r="E794" s="14">
        <f t="shared" ca="1" si="110"/>
        <v>30</v>
      </c>
      <c r="F794" s="14">
        <v>26</v>
      </c>
      <c r="G794" s="14">
        <f t="shared" si="104"/>
        <v>4</v>
      </c>
      <c r="H794" s="15">
        <f t="shared" si="105"/>
        <v>1461.5384615384614</v>
      </c>
      <c r="I794" s="15">
        <f t="shared" si="106"/>
        <v>38000</v>
      </c>
      <c r="J794" s="14">
        <f t="shared" si="107"/>
        <v>4560</v>
      </c>
      <c r="K794" s="15">
        <f t="shared" si="108"/>
        <v>285</v>
      </c>
      <c r="L794" s="15">
        <f t="shared" si="109"/>
        <v>33155</v>
      </c>
      <c r="M794" s="14"/>
      <c r="N794" s="14"/>
    </row>
    <row r="795" ht="14.25">
      <c r="A795" s="14">
        <v>793</v>
      </c>
      <c r="B795" s="14" t="str">
        <f t="shared" si="103"/>
        <v>Empl_793</v>
      </c>
      <c r="C795" s="14" t="s">
        <v>12</v>
      </c>
      <c r="D795" s="14">
        <v>44000</v>
      </c>
      <c r="E795" s="14">
        <f t="shared" ca="1" si="110"/>
        <v>30</v>
      </c>
      <c r="F795" s="14">
        <v>27</v>
      </c>
      <c r="G795" s="14">
        <f t="shared" si="104"/>
        <v>3</v>
      </c>
      <c r="H795" s="15">
        <f t="shared" si="105"/>
        <v>1629.6296296296296</v>
      </c>
      <c r="I795" s="15">
        <f t="shared" si="106"/>
        <v>44000</v>
      </c>
      <c r="J795" s="14">
        <f t="shared" si="107"/>
        <v>5280</v>
      </c>
      <c r="K795" s="15">
        <f t="shared" si="108"/>
        <v>330</v>
      </c>
      <c r="L795" s="15">
        <f t="shared" si="109"/>
        <v>38390</v>
      </c>
      <c r="M795" s="14"/>
      <c r="N795" s="14"/>
    </row>
    <row r="796" ht="14.25">
      <c r="A796" s="14">
        <v>794</v>
      </c>
      <c r="B796" s="14" t="str">
        <f t="shared" si="103"/>
        <v>Empl_794</v>
      </c>
      <c r="C796" s="14" t="s">
        <v>10</v>
      </c>
      <c r="D796" s="14">
        <v>44000</v>
      </c>
      <c r="E796" s="14">
        <f t="shared" ca="1" si="110"/>
        <v>30</v>
      </c>
      <c r="F796" s="14">
        <v>21</v>
      </c>
      <c r="G796" s="14">
        <f t="shared" si="104"/>
        <v>9</v>
      </c>
      <c r="H796" s="15">
        <f t="shared" si="105"/>
        <v>2095.2380952380954</v>
      </c>
      <c r="I796" s="15">
        <f t="shared" si="106"/>
        <v>44000</v>
      </c>
      <c r="J796" s="14">
        <f t="shared" si="107"/>
        <v>5280</v>
      </c>
      <c r="K796" s="15">
        <f t="shared" si="108"/>
        <v>330</v>
      </c>
      <c r="L796" s="15">
        <f t="shared" si="109"/>
        <v>38390</v>
      </c>
      <c r="M796" s="14"/>
      <c r="N796" s="14"/>
    </row>
    <row r="797" ht="14.25">
      <c r="A797" s="14">
        <v>795</v>
      </c>
      <c r="B797" s="14" t="str">
        <f t="shared" si="103"/>
        <v>Empl_795</v>
      </c>
      <c r="C797" s="14" t="s">
        <v>13</v>
      </c>
      <c r="D797" s="14">
        <v>15000</v>
      </c>
      <c r="E797" s="14">
        <f t="shared" ca="1" si="110"/>
        <v>30</v>
      </c>
      <c r="F797" s="14">
        <v>20</v>
      </c>
      <c r="G797" s="14">
        <f t="shared" si="104"/>
        <v>10</v>
      </c>
      <c r="H797" s="15">
        <f t="shared" si="105"/>
        <v>750</v>
      </c>
      <c r="I797" s="15">
        <f t="shared" si="106"/>
        <v>15000</v>
      </c>
      <c r="J797" s="14">
        <f t="shared" si="107"/>
        <v>1800</v>
      </c>
      <c r="K797" s="15">
        <f t="shared" si="108"/>
        <v>112.5</v>
      </c>
      <c r="L797" s="15">
        <f t="shared" si="109"/>
        <v>13087.5</v>
      </c>
      <c r="M797" s="14"/>
      <c r="N797" s="14"/>
    </row>
    <row r="798" ht="14.25">
      <c r="A798" s="14">
        <v>796</v>
      </c>
      <c r="B798" s="14" t="str">
        <f t="shared" si="103"/>
        <v>Empl_796</v>
      </c>
      <c r="C798" s="14" t="s">
        <v>9</v>
      </c>
      <c r="D798" s="14">
        <v>28000</v>
      </c>
      <c r="E798" s="14">
        <f t="shared" ca="1" si="110"/>
        <v>30</v>
      </c>
      <c r="F798" s="14">
        <v>28</v>
      </c>
      <c r="G798" s="14">
        <f t="shared" si="104"/>
        <v>2</v>
      </c>
      <c r="H798" s="15">
        <f t="shared" si="105"/>
        <v>1000</v>
      </c>
      <c r="I798" s="15">
        <f t="shared" si="106"/>
        <v>28000</v>
      </c>
      <c r="J798" s="14">
        <f t="shared" si="107"/>
        <v>3360</v>
      </c>
      <c r="K798" s="15">
        <f t="shared" si="108"/>
        <v>210</v>
      </c>
      <c r="L798" s="15">
        <f t="shared" si="109"/>
        <v>24430</v>
      </c>
      <c r="M798" s="14"/>
      <c r="N798" s="14"/>
    </row>
    <row r="799" ht="14.25">
      <c r="A799" s="14">
        <v>797</v>
      </c>
      <c r="B799" s="14" t="str">
        <f t="shared" si="103"/>
        <v>Empl_797</v>
      </c>
      <c r="C799" s="14" t="s">
        <v>11</v>
      </c>
      <c r="D799" s="14">
        <v>26000</v>
      </c>
      <c r="E799" s="14">
        <f t="shared" ca="1" si="110"/>
        <v>30</v>
      </c>
      <c r="F799" s="14">
        <v>23</v>
      </c>
      <c r="G799" s="14">
        <f t="shared" si="104"/>
        <v>7</v>
      </c>
      <c r="H799" s="15">
        <f t="shared" si="105"/>
        <v>1130.4347826086957</v>
      </c>
      <c r="I799" s="15">
        <f t="shared" si="106"/>
        <v>26000.000000000004</v>
      </c>
      <c r="J799" s="14">
        <f t="shared" si="107"/>
        <v>3120.0000000000005</v>
      </c>
      <c r="K799" s="15">
        <f t="shared" si="108"/>
        <v>195.00000000000003</v>
      </c>
      <c r="L799" s="15">
        <f t="shared" si="109"/>
        <v>22685.000000000004</v>
      </c>
      <c r="M799" s="14"/>
      <c r="N799" s="14"/>
    </row>
    <row r="800" ht="14.25">
      <c r="A800" s="14">
        <v>798</v>
      </c>
      <c r="B800" s="14" t="str">
        <f t="shared" si="103"/>
        <v>Empl_798</v>
      </c>
      <c r="C800" s="14" t="s">
        <v>8</v>
      </c>
      <c r="D800" s="14">
        <v>33000</v>
      </c>
      <c r="E800" s="14">
        <f t="shared" ca="1" si="110"/>
        <v>30</v>
      </c>
      <c r="F800" s="14">
        <v>22</v>
      </c>
      <c r="G800" s="14">
        <f t="shared" si="104"/>
        <v>8</v>
      </c>
      <c r="H800" s="15">
        <f t="shared" si="105"/>
        <v>1500</v>
      </c>
      <c r="I800" s="15">
        <f t="shared" si="106"/>
        <v>33000</v>
      </c>
      <c r="J800" s="14">
        <f t="shared" si="107"/>
        <v>3960</v>
      </c>
      <c r="K800" s="15">
        <f t="shared" si="108"/>
        <v>247.5</v>
      </c>
      <c r="L800" s="15">
        <f t="shared" si="109"/>
        <v>28792.5</v>
      </c>
      <c r="M800" s="14"/>
      <c r="N800" s="14"/>
    </row>
    <row r="801" ht="14.25">
      <c r="A801" s="14">
        <v>799</v>
      </c>
      <c r="B801" s="14" t="str">
        <f t="shared" si="103"/>
        <v>Empl_799</v>
      </c>
      <c r="C801" s="14" t="s">
        <v>12</v>
      </c>
      <c r="D801" s="14">
        <v>24000</v>
      </c>
      <c r="E801" s="14">
        <f t="shared" ca="1" si="110"/>
        <v>30</v>
      </c>
      <c r="F801" s="14">
        <v>21</v>
      </c>
      <c r="G801" s="14">
        <f t="shared" si="104"/>
        <v>9</v>
      </c>
      <c r="H801" s="15">
        <f t="shared" si="105"/>
        <v>1142.8571428571429</v>
      </c>
      <c r="I801" s="15">
        <f t="shared" si="106"/>
        <v>24000</v>
      </c>
      <c r="J801" s="14">
        <f t="shared" si="107"/>
        <v>2880</v>
      </c>
      <c r="K801" s="15">
        <f t="shared" si="108"/>
        <v>180</v>
      </c>
      <c r="L801" s="15">
        <f t="shared" si="109"/>
        <v>20940</v>
      </c>
      <c r="M801" s="14"/>
      <c r="N801" s="14"/>
    </row>
    <row r="802" ht="14.25">
      <c r="A802" s="14">
        <v>800</v>
      </c>
      <c r="B802" s="14" t="str">
        <f t="shared" si="103"/>
        <v>Empl_800</v>
      </c>
      <c r="C802" s="14" t="s">
        <v>10</v>
      </c>
      <c r="D802" s="14">
        <v>31000</v>
      </c>
      <c r="E802" s="14">
        <f t="shared" ca="1" si="110"/>
        <v>30</v>
      </c>
      <c r="F802" s="14">
        <v>22</v>
      </c>
      <c r="G802" s="14">
        <f t="shared" si="104"/>
        <v>8</v>
      </c>
      <c r="H802" s="15">
        <f t="shared" si="105"/>
        <v>1409.090909090909</v>
      </c>
      <c r="I802" s="15">
        <f t="shared" si="106"/>
        <v>31000</v>
      </c>
      <c r="J802" s="14">
        <f t="shared" si="107"/>
        <v>3720</v>
      </c>
      <c r="K802" s="15">
        <f t="shared" si="108"/>
        <v>232.5</v>
      </c>
      <c r="L802" s="15">
        <f t="shared" si="109"/>
        <v>27047.5</v>
      </c>
      <c r="M802" s="14"/>
      <c r="N802" s="14"/>
    </row>
    <row r="803" ht="14.25">
      <c r="A803" s="14">
        <v>801</v>
      </c>
      <c r="B803" s="14" t="str">
        <f t="shared" si="103"/>
        <v>Empl_801</v>
      </c>
      <c r="C803" s="14" t="s">
        <v>13</v>
      </c>
      <c r="D803" s="14">
        <v>16000</v>
      </c>
      <c r="E803" s="14">
        <f t="shared" ca="1" si="110"/>
        <v>30</v>
      </c>
      <c r="F803" s="14">
        <v>23</v>
      </c>
      <c r="G803" s="14">
        <f t="shared" si="104"/>
        <v>7</v>
      </c>
      <c r="H803" s="15">
        <f t="shared" si="105"/>
        <v>695.6521739130435</v>
      </c>
      <c r="I803" s="15">
        <f t="shared" si="106"/>
        <v>16000</v>
      </c>
      <c r="J803" s="14">
        <f t="shared" si="107"/>
        <v>1920</v>
      </c>
      <c r="K803" s="15">
        <f t="shared" si="108"/>
        <v>120</v>
      </c>
      <c r="L803" s="15">
        <f t="shared" si="109"/>
        <v>13960</v>
      </c>
      <c r="M803" s="14"/>
      <c r="N803" s="14"/>
    </row>
    <row r="804" ht="14.25">
      <c r="A804" s="14">
        <v>802</v>
      </c>
      <c r="B804" s="14" t="str">
        <f t="shared" ref="B804:B867" si="111">"Empl_"&amp;A804</f>
        <v>Empl_802</v>
      </c>
      <c r="C804" s="14" t="s">
        <v>9</v>
      </c>
      <c r="D804" s="14">
        <v>57000</v>
      </c>
      <c r="E804" s="14">
        <f t="shared" ca="1" si="110"/>
        <v>30</v>
      </c>
      <c r="F804" s="14">
        <v>23</v>
      </c>
      <c r="G804" s="14">
        <f t="shared" ref="G804:G867" si="112">E804-F804</f>
        <v>7</v>
      </c>
      <c r="H804" s="15">
        <f t="shared" ref="H804:H867" si="113">D804/F804</f>
        <v>2478.2608695652175</v>
      </c>
      <c r="I804" s="15">
        <f t="shared" ref="I804:I867" si="114">H804*F804</f>
        <v>57000</v>
      </c>
      <c r="J804" s="14">
        <f t="shared" ref="J804:J867" si="115">I804*12%</f>
        <v>6840</v>
      </c>
      <c r="K804" s="15">
        <f t="shared" ref="K804:K867" si="116">I804*0.75%</f>
        <v>427.5</v>
      </c>
      <c r="L804" s="15">
        <f t="shared" ref="L804:L867" si="117">I804-(J804+K804)</f>
        <v>49732.5</v>
      </c>
      <c r="M804" s="14"/>
      <c r="N804" s="14"/>
    </row>
    <row r="805" ht="14.25">
      <c r="A805" s="14">
        <v>803</v>
      </c>
      <c r="B805" s="14" t="str">
        <f t="shared" si="111"/>
        <v>Empl_803</v>
      </c>
      <c r="C805" s="14" t="s">
        <v>11</v>
      </c>
      <c r="D805" s="14">
        <v>20000</v>
      </c>
      <c r="E805" s="14">
        <f t="shared" ca="1" si="110"/>
        <v>30</v>
      </c>
      <c r="F805" s="14">
        <v>30</v>
      </c>
      <c r="G805" s="14">
        <f t="shared" si="112"/>
        <v>0</v>
      </c>
      <c r="H805" s="15">
        <f t="shared" si="113"/>
        <v>666.66666666666663</v>
      </c>
      <c r="I805" s="15">
        <f t="shared" si="114"/>
        <v>20000</v>
      </c>
      <c r="J805" s="14">
        <f t="shared" si="115"/>
        <v>2400</v>
      </c>
      <c r="K805" s="15">
        <f t="shared" si="116"/>
        <v>150</v>
      </c>
      <c r="L805" s="15">
        <f t="shared" si="117"/>
        <v>17450</v>
      </c>
      <c r="M805" s="14"/>
      <c r="N805" s="14"/>
    </row>
    <row r="806" ht="14.25">
      <c r="A806" s="14">
        <v>804</v>
      </c>
      <c r="B806" s="14" t="str">
        <f t="shared" si="111"/>
        <v>Empl_804</v>
      </c>
      <c r="C806" s="14" t="s">
        <v>8</v>
      </c>
      <c r="D806" s="14">
        <v>42000</v>
      </c>
      <c r="E806" s="14">
        <f t="shared" ca="1" si="110"/>
        <v>30</v>
      </c>
      <c r="F806" s="14">
        <v>22</v>
      </c>
      <c r="G806" s="14">
        <f t="shared" si="112"/>
        <v>8</v>
      </c>
      <c r="H806" s="15">
        <f t="shared" si="113"/>
        <v>1909.090909090909</v>
      </c>
      <c r="I806" s="15">
        <f t="shared" si="114"/>
        <v>42000</v>
      </c>
      <c r="J806" s="14">
        <f t="shared" si="115"/>
        <v>5040</v>
      </c>
      <c r="K806" s="15">
        <f t="shared" si="116"/>
        <v>315</v>
      </c>
      <c r="L806" s="15">
        <f t="shared" si="117"/>
        <v>36645</v>
      </c>
      <c r="M806" s="14"/>
      <c r="N806" s="14"/>
    </row>
    <row r="807" ht="14.25">
      <c r="A807" s="14">
        <v>805</v>
      </c>
      <c r="B807" s="14" t="str">
        <f t="shared" si="111"/>
        <v>Empl_805</v>
      </c>
      <c r="C807" s="14" t="s">
        <v>12</v>
      </c>
      <c r="D807" s="14">
        <v>42000</v>
      </c>
      <c r="E807" s="14">
        <f t="shared" ca="1" si="110"/>
        <v>30</v>
      </c>
      <c r="F807" s="14">
        <v>20</v>
      </c>
      <c r="G807" s="14">
        <f t="shared" si="112"/>
        <v>10</v>
      </c>
      <c r="H807" s="15">
        <f t="shared" si="113"/>
        <v>2100</v>
      </c>
      <c r="I807" s="15">
        <f t="shared" si="114"/>
        <v>42000</v>
      </c>
      <c r="J807" s="14">
        <f t="shared" si="115"/>
        <v>5040</v>
      </c>
      <c r="K807" s="15">
        <f t="shared" si="116"/>
        <v>315</v>
      </c>
      <c r="L807" s="15">
        <f t="shared" si="117"/>
        <v>36645</v>
      </c>
      <c r="M807" s="14"/>
      <c r="N807" s="14"/>
    </row>
    <row r="808" ht="14.25">
      <c r="A808" s="14">
        <v>806</v>
      </c>
      <c r="B808" s="14" t="str">
        <f t="shared" si="111"/>
        <v>Empl_806</v>
      </c>
      <c r="C808" s="14" t="s">
        <v>10</v>
      </c>
      <c r="D808" s="14">
        <v>54000</v>
      </c>
      <c r="E808" s="14">
        <f t="shared" ca="1" si="110"/>
        <v>30</v>
      </c>
      <c r="F808" s="14">
        <v>22</v>
      </c>
      <c r="G808" s="14">
        <f t="shared" si="112"/>
        <v>8</v>
      </c>
      <c r="H808" s="15">
        <f t="shared" si="113"/>
        <v>2454.5454545454545</v>
      </c>
      <c r="I808" s="15">
        <f t="shared" si="114"/>
        <v>54000</v>
      </c>
      <c r="J808" s="14">
        <f t="shared" si="115"/>
        <v>6480</v>
      </c>
      <c r="K808" s="15">
        <f t="shared" si="116"/>
        <v>405</v>
      </c>
      <c r="L808" s="15">
        <f t="shared" si="117"/>
        <v>47115</v>
      </c>
      <c r="M808" s="14"/>
      <c r="N808" s="14"/>
    </row>
    <row r="809" ht="14.25">
      <c r="A809" s="14">
        <v>807</v>
      </c>
      <c r="B809" s="14" t="str">
        <f t="shared" si="111"/>
        <v>Empl_807</v>
      </c>
      <c r="C809" s="14" t="s">
        <v>13</v>
      </c>
      <c r="D809" s="14">
        <v>16000</v>
      </c>
      <c r="E809" s="14">
        <f t="shared" ca="1" si="110"/>
        <v>30</v>
      </c>
      <c r="F809" s="14">
        <v>24</v>
      </c>
      <c r="G809" s="14">
        <f t="shared" si="112"/>
        <v>6</v>
      </c>
      <c r="H809" s="15">
        <f t="shared" si="113"/>
        <v>666.66666666666663</v>
      </c>
      <c r="I809" s="15">
        <f t="shared" si="114"/>
        <v>16000</v>
      </c>
      <c r="J809" s="14">
        <f t="shared" si="115"/>
        <v>1920</v>
      </c>
      <c r="K809" s="15">
        <f t="shared" si="116"/>
        <v>120</v>
      </c>
      <c r="L809" s="15">
        <f t="shared" si="117"/>
        <v>13960</v>
      </c>
      <c r="M809" s="14"/>
      <c r="N809" s="14"/>
    </row>
    <row r="810" ht="14.25">
      <c r="A810" s="14">
        <v>808</v>
      </c>
      <c r="B810" s="14" t="str">
        <f t="shared" si="111"/>
        <v>Empl_808</v>
      </c>
      <c r="C810" s="14" t="s">
        <v>9</v>
      </c>
      <c r="D810" s="14">
        <v>45000</v>
      </c>
      <c r="E810" s="14">
        <f t="shared" ca="1" si="110"/>
        <v>30</v>
      </c>
      <c r="F810" s="14">
        <v>27</v>
      </c>
      <c r="G810" s="14">
        <f t="shared" si="112"/>
        <v>3</v>
      </c>
      <c r="H810" s="15">
        <f t="shared" si="113"/>
        <v>1666.6666666666667</v>
      </c>
      <c r="I810" s="15">
        <f t="shared" si="114"/>
        <v>45000</v>
      </c>
      <c r="J810" s="14">
        <f t="shared" si="115"/>
        <v>5400</v>
      </c>
      <c r="K810" s="15">
        <f t="shared" si="116"/>
        <v>337.5</v>
      </c>
      <c r="L810" s="15">
        <f t="shared" si="117"/>
        <v>39262.5</v>
      </c>
      <c r="M810" s="14"/>
      <c r="N810" s="14"/>
    </row>
    <row r="811" ht="14.25">
      <c r="A811" s="14">
        <v>809</v>
      </c>
      <c r="B811" s="14" t="str">
        <f t="shared" si="111"/>
        <v>Empl_809</v>
      </c>
      <c r="C811" s="14" t="s">
        <v>11</v>
      </c>
      <c r="D811" s="14">
        <v>25000</v>
      </c>
      <c r="E811" s="14">
        <f t="shared" ca="1" si="110"/>
        <v>30</v>
      </c>
      <c r="F811" s="14">
        <v>20</v>
      </c>
      <c r="G811" s="14">
        <f t="shared" si="112"/>
        <v>10</v>
      </c>
      <c r="H811" s="15">
        <f t="shared" si="113"/>
        <v>1250</v>
      </c>
      <c r="I811" s="15">
        <f t="shared" si="114"/>
        <v>25000</v>
      </c>
      <c r="J811" s="14">
        <f t="shared" si="115"/>
        <v>3000</v>
      </c>
      <c r="K811" s="15">
        <f t="shared" si="116"/>
        <v>187.5</v>
      </c>
      <c r="L811" s="15">
        <f t="shared" si="117"/>
        <v>21812.5</v>
      </c>
      <c r="M811" s="14"/>
      <c r="N811" s="14"/>
    </row>
    <row r="812" ht="14.25">
      <c r="A812" s="14">
        <v>810</v>
      </c>
      <c r="B812" s="14" t="str">
        <f t="shared" si="111"/>
        <v>Empl_810</v>
      </c>
      <c r="C812" s="14" t="s">
        <v>8</v>
      </c>
      <c r="D812" s="14">
        <v>16000</v>
      </c>
      <c r="E812" s="14">
        <f t="shared" ca="1" si="110"/>
        <v>30</v>
      </c>
      <c r="F812" s="14">
        <v>27</v>
      </c>
      <c r="G812" s="14">
        <f t="shared" si="112"/>
        <v>3</v>
      </c>
      <c r="H812" s="15">
        <f t="shared" si="113"/>
        <v>592.59259259259261</v>
      </c>
      <c r="I812" s="15">
        <f t="shared" si="114"/>
        <v>16000</v>
      </c>
      <c r="J812" s="14">
        <f t="shared" si="115"/>
        <v>1920</v>
      </c>
      <c r="K812" s="15">
        <f t="shared" si="116"/>
        <v>120</v>
      </c>
      <c r="L812" s="15">
        <f t="shared" si="117"/>
        <v>13960</v>
      </c>
      <c r="M812" s="14"/>
      <c r="N812" s="14"/>
    </row>
    <row r="813" ht="14.25">
      <c r="A813" s="14">
        <v>811</v>
      </c>
      <c r="B813" s="14" t="str">
        <f t="shared" si="111"/>
        <v>Empl_811</v>
      </c>
      <c r="C813" s="14" t="s">
        <v>12</v>
      </c>
      <c r="D813" s="14">
        <v>39000</v>
      </c>
      <c r="E813" s="14">
        <f t="shared" ca="1" si="110"/>
        <v>30</v>
      </c>
      <c r="F813" s="14">
        <v>30</v>
      </c>
      <c r="G813" s="14">
        <f t="shared" si="112"/>
        <v>0</v>
      </c>
      <c r="H813" s="15">
        <f t="shared" si="113"/>
        <v>1300</v>
      </c>
      <c r="I813" s="15">
        <f t="shared" si="114"/>
        <v>39000</v>
      </c>
      <c r="J813" s="14">
        <f t="shared" si="115"/>
        <v>4680</v>
      </c>
      <c r="K813" s="15">
        <f t="shared" si="116"/>
        <v>292.5</v>
      </c>
      <c r="L813" s="15">
        <f t="shared" si="117"/>
        <v>34027.5</v>
      </c>
      <c r="M813" s="14"/>
      <c r="N813" s="14"/>
    </row>
    <row r="814" ht="14.25">
      <c r="A814" s="14">
        <v>812</v>
      </c>
      <c r="B814" s="14" t="str">
        <f t="shared" si="111"/>
        <v>Empl_812</v>
      </c>
      <c r="C814" s="14" t="s">
        <v>10</v>
      </c>
      <c r="D814" s="14">
        <v>54000</v>
      </c>
      <c r="E814" s="14">
        <f t="shared" ca="1" si="110"/>
        <v>30</v>
      </c>
      <c r="F814" s="14">
        <v>20</v>
      </c>
      <c r="G814" s="14">
        <f t="shared" si="112"/>
        <v>10</v>
      </c>
      <c r="H814" s="15">
        <f t="shared" si="113"/>
        <v>2700</v>
      </c>
      <c r="I814" s="15">
        <f t="shared" si="114"/>
        <v>54000</v>
      </c>
      <c r="J814" s="14">
        <f t="shared" si="115"/>
        <v>6480</v>
      </c>
      <c r="K814" s="15">
        <f t="shared" si="116"/>
        <v>405</v>
      </c>
      <c r="L814" s="15">
        <f t="shared" si="117"/>
        <v>47115</v>
      </c>
      <c r="M814" s="14"/>
      <c r="N814" s="14"/>
    </row>
    <row r="815" ht="14.25">
      <c r="A815" s="14">
        <v>813</v>
      </c>
      <c r="B815" s="14" t="str">
        <f t="shared" si="111"/>
        <v>Empl_813</v>
      </c>
      <c r="C815" s="14" t="s">
        <v>13</v>
      </c>
      <c r="D815" s="14">
        <v>46000</v>
      </c>
      <c r="E815" s="14">
        <f t="shared" ca="1" si="110"/>
        <v>30</v>
      </c>
      <c r="F815" s="14">
        <v>20</v>
      </c>
      <c r="G815" s="14">
        <f t="shared" si="112"/>
        <v>10</v>
      </c>
      <c r="H815" s="15">
        <f t="shared" si="113"/>
        <v>2300</v>
      </c>
      <c r="I815" s="15">
        <f t="shared" si="114"/>
        <v>46000</v>
      </c>
      <c r="J815" s="14">
        <f t="shared" si="115"/>
        <v>5520</v>
      </c>
      <c r="K815" s="15">
        <f t="shared" si="116"/>
        <v>345</v>
      </c>
      <c r="L815" s="15">
        <f t="shared" si="117"/>
        <v>40135</v>
      </c>
      <c r="M815" s="14"/>
      <c r="N815" s="14"/>
    </row>
    <row r="816" ht="14.25">
      <c r="A816" s="14">
        <v>814</v>
      </c>
      <c r="B816" s="14" t="str">
        <f t="shared" si="111"/>
        <v>Empl_814</v>
      </c>
      <c r="C816" s="14" t="s">
        <v>9</v>
      </c>
      <c r="D816" s="14">
        <v>50000</v>
      </c>
      <c r="E816" s="14">
        <f t="shared" ca="1" si="110"/>
        <v>30</v>
      </c>
      <c r="F816" s="14">
        <v>23</v>
      </c>
      <c r="G816" s="14">
        <f t="shared" si="112"/>
        <v>7</v>
      </c>
      <c r="H816" s="15">
        <f t="shared" si="113"/>
        <v>2173.913043478261</v>
      </c>
      <c r="I816" s="15">
        <f t="shared" si="114"/>
        <v>50000</v>
      </c>
      <c r="J816" s="14">
        <f t="shared" si="115"/>
        <v>6000</v>
      </c>
      <c r="K816" s="15">
        <f t="shared" si="116"/>
        <v>375</v>
      </c>
      <c r="L816" s="15">
        <f t="shared" si="117"/>
        <v>43625</v>
      </c>
      <c r="M816" s="14"/>
      <c r="N816" s="14"/>
    </row>
    <row r="817" ht="14.25">
      <c r="A817" s="14">
        <v>815</v>
      </c>
      <c r="B817" s="14" t="str">
        <f t="shared" si="111"/>
        <v>Empl_815</v>
      </c>
      <c r="C817" s="14" t="s">
        <v>11</v>
      </c>
      <c r="D817" s="14">
        <v>54000</v>
      </c>
      <c r="E817" s="14">
        <f t="shared" ca="1" si="110"/>
        <v>30</v>
      </c>
      <c r="F817" s="14">
        <v>25</v>
      </c>
      <c r="G817" s="14">
        <f t="shared" si="112"/>
        <v>5</v>
      </c>
      <c r="H817" s="15">
        <f t="shared" si="113"/>
        <v>2160</v>
      </c>
      <c r="I817" s="15">
        <f t="shared" si="114"/>
        <v>54000</v>
      </c>
      <c r="J817" s="14">
        <f t="shared" si="115"/>
        <v>6480</v>
      </c>
      <c r="K817" s="15">
        <f t="shared" si="116"/>
        <v>405</v>
      </c>
      <c r="L817" s="15">
        <f t="shared" si="117"/>
        <v>47115</v>
      </c>
      <c r="M817" s="14"/>
      <c r="N817" s="14"/>
    </row>
    <row r="818" ht="14.25">
      <c r="A818" s="14">
        <v>816</v>
      </c>
      <c r="B818" s="14" t="str">
        <f t="shared" si="111"/>
        <v>Empl_816</v>
      </c>
      <c r="C818" s="14" t="s">
        <v>8</v>
      </c>
      <c r="D818" s="14">
        <v>43000</v>
      </c>
      <c r="E818" s="14">
        <f t="shared" ca="1" si="110"/>
        <v>30</v>
      </c>
      <c r="F818" s="14">
        <v>27</v>
      </c>
      <c r="G818" s="14">
        <f t="shared" si="112"/>
        <v>3</v>
      </c>
      <c r="H818" s="15">
        <f t="shared" si="113"/>
        <v>1592.5925925925926</v>
      </c>
      <c r="I818" s="15">
        <f t="shared" si="114"/>
        <v>43000</v>
      </c>
      <c r="J818" s="14">
        <f t="shared" si="115"/>
        <v>5160</v>
      </c>
      <c r="K818" s="15">
        <f t="shared" si="116"/>
        <v>322.5</v>
      </c>
      <c r="L818" s="15">
        <f t="shared" si="117"/>
        <v>37517.5</v>
      </c>
      <c r="M818" s="14"/>
      <c r="N818" s="14"/>
    </row>
    <row r="819" ht="14.25">
      <c r="A819" s="14">
        <v>817</v>
      </c>
      <c r="B819" s="14" t="str">
        <f t="shared" si="111"/>
        <v>Empl_817</v>
      </c>
      <c r="C819" s="14" t="s">
        <v>12</v>
      </c>
      <c r="D819" s="14">
        <v>18000</v>
      </c>
      <c r="E819" s="14">
        <f t="shared" ca="1" si="110"/>
        <v>30</v>
      </c>
      <c r="F819" s="14">
        <v>27</v>
      </c>
      <c r="G819" s="14">
        <f t="shared" si="112"/>
        <v>3</v>
      </c>
      <c r="H819" s="15">
        <f t="shared" si="113"/>
        <v>666.66666666666663</v>
      </c>
      <c r="I819" s="15">
        <f t="shared" si="114"/>
        <v>18000</v>
      </c>
      <c r="J819" s="14">
        <f t="shared" si="115"/>
        <v>2160</v>
      </c>
      <c r="K819" s="15">
        <f t="shared" si="116"/>
        <v>135</v>
      </c>
      <c r="L819" s="15">
        <f t="shared" si="117"/>
        <v>15705</v>
      </c>
      <c r="M819" s="14"/>
      <c r="N819" s="14"/>
    </row>
    <row r="820" ht="14.25">
      <c r="A820" s="14">
        <v>818</v>
      </c>
      <c r="B820" s="14" t="str">
        <f t="shared" si="111"/>
        <v>Empl_818</v>
      </c>
      <c r="C820" s="14" t="s">
        <v>10</v>
      </c>
      <c r="D820" s="14">
        <v>18000</v>
      </c>
      <c r="E820" s="14">
        <f t="shared" ca="1" si="110"/>
        <v>30</v>
      </c>
      <c r="F820" s="14">
        <v>23</v>
      </c>
      <c r="G820" s="14">
        <f t="shared" si="112"/>
        <v>7</v>
      </c>
      <c r="H820" s="15">
        <f t="shared" si="113"/>
        <v>782.60869565217388</v>
      </c>
      <c r="I820" s="15">
        <f t="shared" si="114"/>
        <v>18000</v>
      </c>
      <c r="J820" s="14">
        <f t="shared" si="115"/>
        <v>2160</v>
      </c>
      <c r="K820" s="15">
        <f t="shared" si="116"/>
        <v>135</v>
      </c>
      <c r="L820" s="15">
        <f t="shared" si="117"/>
        <v>15705</v>
      </c>
      <c r="M820" s="14"/>
      <c r="N820" s="14"/>
    </row>
    <row r="821" ht="14.25">
      <c r="A821" s="14">
        <v>819</v>
      </c>
      <c r="B821" s="14" t="str">
        <f t="shared" si="111"/>
        <v>Empl_819</v>
      </c>
      <c r="C821" s="14" t="s">
        <v>13</v>
      </c>
      <c r="D821" s="14">
        <v>57000</v>
      </c>
      <c r="E821" s="14">
        <f t="shared" ca="1" si="110"/>
        <v>30</v>
      </c>
      <c r="F821" s="14">
        <v>22</v>
      </c>
      <c r="G821" s="14">
        <f t="shared" si="112"/>
        <v>8</v>
      </c>
      <c r="H821" s="15">
        <f t="shared" si="113"/>
        <v>2590.909090909091</v>
      </c>
      <c r="I821" s="15">
        <f t="shared" si="114"/>
        <v>57000</v>
      </c>
      <c r="J821" s="14">
        <f t="shared" si="115"/>
        <v>6840</v>
      </c>
      <c r="K821" s="15">
        <f t="shared" si="116"/>
        <v>427.5</v>
      </c>
      <c r="L821" s="15">
        <f t="shared" si="117"/>
        <v>49732.5</v>
      </c>
      <c r="M821" s="14"/>
      <c r="N821" s="14"/>
    </row>
    <row r="822" ht="14.25">
      <c r="A822" s="14">
        <v>820</v>
      </c>
      <c r="B822" s="14" t="str">
        <f t="shared" si="111"/>
        <v>Empl_820</v>
      </c>
      <c r="C822" s="14" t="s">
        <v>9</v>
      </c>
      <c r="D822" s="14">
        <v>37000</v>
      </c>
      <c r="E822" s="14">
        <f t="shared" ca="1" si="110"/>
        <v>30</v>
      </c>
      <c r="F822" s="14">
        <v>21</v>
      </c>
      <c r="G822" s="14">
        <f t="shared" si="112"/>
        <v>9</v>
      </c>
      <c r="H822" s="15">
        <f t="shared" si="113"/>
        <v>1761.9047619047619</v>
      </c>
      <c r="I822" s="15">
        <f t="shared" si="114"/>
        <v>37000</v>
      </c>
      <c r="J822" s="14">
        <f t="shared" si="115"/>
        <v>4440</v>
      </c>
      <c r="K822" s="15">
        <f t="shared" si="116"/>
        <v>277.5</v>
      </c>
      <c r="L822" s="15">
        <f t="shared" si="117"/>
        <v>32282.5</v>
      </c>
      <c r="M822" s="14"/>
      <c r="N822" s="14"/>
    </row>
    <row r="823" ht="14.25">
      <c r="A823" s="14">
        <v>821</v>
      </c>
      <c r="B823" s="14" t="str">
        <f t="shared" si="111"/>
        <v>Empl_821</v>
      </c>
      <c r="C823" s="14" t="s">
        <v>11</v>
      </c>
      <c r="D823" s="14">
        <v>22000</v>
      </c>
      <c r="E823" s="14">
        <f t="shared" ca="1" si="110"/>
        <v>30</v>
      </c>
      <c r="F823" s="14">
        <v>29</v>
      </c>
      <c r="G823" s="14">
        <f t="shared" si="112"/>
        <v>1</v>
      </c>
      <c r="H823" s="15">
        <f t="shared" si="113"/>
        <v>758.62068965517244</v>
      </c>
      <c r="I823" s="15">
        <f t="shared" si="114"/>
        <v>22000</v>
      </c>
      <c r="J823" s="14">
        <f t="shared" si="115"/>
        <v>2640</v>
      </c>
      <c r="K823" s="15">
        <f t="shared" si="116"/>
        <v>165</v>
      </c>
      <c r="L823" s="15">
        <f t="shared" si="117"/>
        <v>19195</v>
      </c>
      <c r="M823" s="14"/>
      <c r="N823" s="14"/>
    </row>
    <row r="824" ht="14.25">
      <c r="A824" s="14">
        <v>822</v>
      </c>
      <c r="B824" s="14" t="str">
        <f t="shared" si="111"/>
        <v>Empl_822</v>
      </c>
      <c r="C824" s="14" t="s">
        <v>8</v>
      </c>
      <c r="D824" s="14">
        <v>45000</v>
      </c>
      <c r="E824" s="14">
        <f t="shared" ca="1" si="110"/>
        <v>30</v>
      </c>
      <c r="F824" s="14">
        <v>21</v>
      </c>
      <c r="G824" s="14">
        <f t="shared" si="112"/>
        <v>9</v>
      </c>
      <c r="H824" s="15">
        <f t="shared" si="113"/>
        <v>2142.8571428571427</v>
      </c>
      <c r="I824" s="15">
        <f t="shared" si="114"/>
        <v>44999.999999999993</v>
      </c>
      <c r="J824" s="14">
        <f t="shared" si="115"/>
        <v>5399.9999999999991</v>
      </c>
      <c r="K824" s="15">
        <f t="shared" si="116"/>
        <v>337.49999999999994</v>
      </c>
      <c r="L824" s="15">
        <f t="shared" si="117"/>
        <v>39262.499999999993</v>
      </c>
      <c r="M824" s="14"/>
      <c r="N824" s="14"/>
    </row>
    <row r="825" ht="14.25">
      <c r="A825" s="14">
        <v>823</v>
      </c>
      <c r="B825" s="14" t="str">
        <f t="shared" si="111"/>
        <v>Empl_823</v>
      </c>
      <c r="C825" s="14" t="s">
        <v>12</v>
      </c>
      <c r="D825" s="14">
        <v>54000</v>
      </c>
      <c r="E825" s="14">
        <f t="shared" ca="1" si="110"/>
        <v>30</v>
      </c>
      <c r="F825" s="14">
        <v>23</v>
      </c>
      <c r="G825" s="14">
        <f t="shared" si="112"/>
        <v>7</v>
      </c>
      <c r="H825" s="15">
        <f t="shared" si="113"/>
        <v>2347.8260869565215</v>
      </c>
      <c r="I825" s="15">
        <f t="shared" si="114"/>
        <v>53999.999999999993</v>
      </c>
      <c r="J825" s="14">
        <f t="shared" si="115"/>
        <v>6479.9999999999991</v>
      </c>
      <c r="K825" s="15">
        <f t="shared" si="116"/>
        <v>404.99999999999994</v>
      </c>
      <c r="L825" s="15">
        <f t="shared" si="117"/>
        <v>47114.999999999993</v>
      </c>
      <c r="M825" s="14"/>
      <c r="N825" s="14"/>
    </row>
    <row r="826" ht="14.25">
      <c r="A826" s="14">
        <v>824</v>
      </c>
      <c r="B826" s="14" t="str">
        <f t="shared" si="111"/>
        <v>Empl_824</v>
      </c>
      <c r="C826" s="14" t="s">
        <v>10</v>
      </c>
      <c r="D826" s="14">
        <v>25000</v>
      </c>
      <c r="E826" s="14">
        <f t="shared" ca="1" si="110"/>
        <v>30</v>
      </c>
      <c r="F826" s="14">
        <v>22</v>
      </c>
      <c r="G826" s="14">
        <f t="shared" si="112"/>
        <v>8</v>
      </c>
      <c r="H826" s="15">
        <f t="shared" si="113"/>
        <v>1136.3636363636363</v>
      </c>
      <c r="I826" s="15">
        <f t="shared" si="114"/>
        <v>24999.999999999996</v>
      </c>
      <c r="J826" s="14">
        <f t="shared" si="115"/>
        <v>2999.9999999999995</v>
      </c>
      <c r="K826" s="15">
        <f t="shared" si="116"/>
        <v>187.49999999999997</v>
      </c>
      <c r="L826" s="15">
        <f t="shared" si="117"/>
        <v>21812.499999999996</v>
      </c>
      <c r="M826" s="14"/>
      <c r="N826" s="14"/>
    </row>
    <row r="827" ht="14.25">
      <c r="A827" s="14">
        <v>825</v>
      </c>
      <c r="B827" s="14" t="str">
        <f t="shared" si="111"/>
        <v>Empl_825</v>
      </c>
      <c r="C827" s="14" t="s">
        <v>13</v>
      </c>
      <c r="D827" s="14">
        <v>31000</v>
      </c>
      <c r="E827" s="14">
        <f t="shared" ca="1" si="110"/>
        <v>30</v>
      </c>
      <c r="F827" s="14">
        <v>21</v>
      </c>
      <c r="G827" s="14">
        <f t="shared" si="112"/>
        <v>9</v>
      </c>
      <c r="H827" s="15">
        <f t="shared" si="113"/>
        <v>1476.1904761904761</v>
      </c>
      <c r="I827" s="15">
        <f t="shared" si="114"/>
        <v>31000</v>
      </c>
      <c r="J827" s="14">
        <f t="shared" si="115"/>
        <v>3720</v>
      </c>
      <c r="K827" s="15">
        <f t="shared" si="116"/>
        <v>232.5</v>
      </c>
      <c r="L827" s="15">
        <f t="shared" si="117"/>
        <v>27047.5</v>
      </c>
      <c r="M827" s="14"/>
      <c r="N827" s="14"/>
    </row>
    <row r="828" ht="14.25">
      <c r="A828" s="14">
        <v>826</v>
      </c>
      <c r="B828" s="14" t="str">
        <f t="shared" si="111"/>
        <v>Empl_826</v>
      </c>
      <c r="C828" s="14" t="s">
        <v>9</v>
      </c>
      <c r="D828" s="14">
        <v>45000</v>
      </c>
      <c r="E828" s="14">
        <f t="shared" ca="1" si="110"/>
        <v>30</v>
      </c>
      <c r="F828" s="14">
        <v>22</v>
      </c>
      <c r="G828" s="14">
        <f t="shared" si="112"/>
        <v>8</v>
      </c>
      <c r="H828" s="15">
        <f t="shared" si="113"/>
        <v>2045.4545454545455</v>
      </c>
      <c r="I828" s="15">
        <f t="shared" si="114"/>
        <v>45000</v>
      </c>
      <c r="J828" s="14">
        <f t="shared" si="115"/>
        <v>5400</v>
      </c>
      <c r="K828" s="15">
        <f t="shared" si="116"/>
        <v>337.5</v>
      </c>
      <c r="L828" s="15">
        <f t="shared" si="117"/>
        <v>39262.5</v>
      </c>
      <c r="M828" s="14"/>
      <c r="N828" s="14"/>
    </row>
    <row r="829" ht="14.25">
      <c r="A829" s="14">
        <v>827</v>
      </c>
      <c r="B829" s="14" t="str">
        <f t="shared" si="111"/>
        <v>Empl_827</v>
      </c>
      <c r="C829" s="14" t="s">
        <v>11</v>
      </c>
      <c r="D829" s="14">
        <v>57000</v>
      </c>
      <c r="E829" s="14">
        <f t="shared" ca="1" si="110"/>
        <v>30</v>
      </c>
      <c r="F829" s="14">
        <v>28</v>
      </c>
      <c r="G829" s="14">
        <f t="shared" si="112"/>
        <v>2</v>
      </c>
      <c r="H829" s="15">
        <f t="shared" si="113"/>
        <v>2035.7142857142858</v>
      </c>
      <c r="I829" s="15">
        <f t="shared" si="114"/>
        <v>57000</v>
      </c>
      <c r="J829" s="14">
        <f t="shared" si="115"/>
        <v>6840</v>
      </c>
      <c r="K829" s="15">
        <f t="shared" si="116"/>
        <v>427.5</v>
      </c>
      <c r="L829" s="15">
        <f t="shared" si="117"/>
        <v>49732.5</v>
      </c>
      <c r="M829" s="14"/>
      <c r="N829" s="14"/>
    </row>
    <row r="830" ht="14.25">
      <c r="A830" s="14">
        <v>828</v>
      </c>
      <c r="B830" s="14" t="str">
        <f t="shared" si="111"/>
        <v>Empl_828</v>
      </c>
      <c r="C830" s="14" t="s">
        <v>8</v>
      </c>
      <c r="D830" s="14">
        <v>25000</v>
      </c>
      <c r="E830" s="14">
        <f t="shared" ca="1" si="110"/>
        <v>30</v>
      </c>
      <c r="F830" s="14">
        <v>24</v>
      </c>
      <c r="G830" s="14">
        <f t="shared" si="112"/>
        <v>6</v>
      </c>
      <c r="H830" s="15">
        <f t="shared" si="113"/>
        <v>1041.6666666666667</v>
      </c>
      <c r="I830" s="15">
        <f t="shared" si="114"/>
        <v>25000</v>
      </c>
      <c r="J830" s="14">
        <f t="shared" si="115"/>
        <v>3000</v>
      </c>
      <c r="K830" s="15">
        <f t="shared" si="116"/>
        <v>187.5</v>
      </c>
      <c r="L830" s="15">
        <f t="shared" si="117"/>
        <v>21812.5</v>
      </c>
      <c r="M830" s="14"/>
      <c r="N830" s="14"/>
    </row>
    <row r="831" ht="14.25">
      <c r="A831" s="14">
        <v>829</v>
      </c>
      <c r="B831" s="14" t="str">
        <f t="shared" si="111"/>
        <v>Empl_829</v>
      </c>
      <c r="C831" s="14" t="s">
        <v>12</v>
      </c>
      <c r="D831" s="14">
        <v>35000</v>
      </c>
      <c r="E831" s="14">
        <f t="shared" ca="1" si="110"/>
        <v>30</v>
      </c>
      <c r="F831" s="14">
        <v>27</v>
      </c>
      <c r="G831" s="14">
        <f t="shared" si="112"/>
        <v>3</v>
      </c>
      <c r="H831" s="15">
        <f t="shared" si="113"/>
        <v>1296.2962962962963</v>
      </c>
      <c r="I831" s="15">
        <f t="shared" si="114"/>
        <v>35000</v>
      </c>
      <c r="J831" s="14">
        <f t="shared" si="115"/>
        <v>4200</v>
      </c>
      <c r="K831" s="15">
        <f t="shared" si="116"/>
        <v>262.5</v>
      </c>
      <c r="L831" s="15">
        <f t="shared" si="117"/>
        <v>30537.5</v>
      </c>
      <c r="M831" s="14"/>
      <c r="N831" s="14"/>
    </row>
    <row r="832" ht="14.25">
      <c r="A832" s="14">
        <v>830</v>
      </c>
      <c r="B832" s="14" t="str">
        <f t="shared" si="111"/>
        <v>Empl_830</v>
      </c>
      <c r="C832" s="14" t="s">
        <v>10</v>
      </c>
      <c r="D832" s="14">
        <v>30000</v>
      </c>
      <c r="E832" s="14">
        <f t="shared" ca="1" si="110"/>
        <v>30</v>
      </c>
      <c r="F832" s="14">
        <v>22</v>
      </c>
      <c r="G832" s="14">
        <f t="shared" si="112"/>
        <v>8</v>
      </c>
      <c r="H832" s="15">
        <f t="shared" si="113"/>
        <v>1363.6363636363637</v>
      </c>
      <c r="I832" s="15">
        <f t="shared" si="114"/>
        <v>30000.000000000004</v>
      </c>
      <c r="J832" s="14">
        <f t="shared" si="115"/>
        <v>3600.0000000000005</v>
      </c>
      <c r="K832" s="15">
        <f t="shared" si="116"/>
        <v>225.00000000000003</v>
      </c>
      <c r="L832" s="15">
        <f t="shared" si="117"/>
        <v>26175.000000000004</v>
      </c>
      <c r="M832" s="14"/>
      <c r="N832" s="14"/>
    </row>
    <row r="833" ht="14.25">
      <c r="A833" s="14">
        <v>831</v>
      </c>
      <c r="B833" s="14" t="str">
        <f t="shared" si="111"/>
        <v>Empl_831</v>
      </c>
      <c r="C833" s="14" t="s">
        <v>13</v>
      </c>
      <c r="D833" s="14">
        <v>56000</v>
      </c>
      <c r="E833" s="14">
        <f t="shared" ca="1" si="110"/>
        <v>30</v>
      </c>
      <c r="F833" s="14">
        <v>20</v>
      </c>
      <c r="G833" s="14">
        <f t="shared" si="112"/>
        <v>10</v>
      </c>
      <c r="H833" s="15">
        <f t="shared" si="113"/>
        <v>2800</v>
      </c>
      <c r="I833" s="15">
        <f t="shared" si="114"/>
        <v>56000</v>
      </c>
      <c r="J833" s="14">
        <f t="shared" si="115"/>
        <v>6720</v>
      </c>
      <c r="K833" s="15">
        <f t="shared" si="116"/>
        <v>420</v>
      </c>
      <c r="L833" s="15">
        <f t="shared" si="117"/>
        <v>48860</v>
      </c>
      <c r="M833" s="14"/>
      <c r="N833" s="14"/>
    </row>
    <row r="834" ht="14.25">
      <c r="A834" s="14">
        <v>832</v>
      </c>
      <c r="B834" s="14" t="str">
        <f t="shared" si="111"/>
        <v>Empl_832</v>
      </c>
      <c r="C834" s="14" t="s">
        <v>9</v>
      </c>
      <c r="D834" s="14">
        <v>31000</v>
      </c>
      <c r="E834" s="14">
        <f t="shared" ca="1" si="110"/>
        <v>30</v>
      </c>
      <c r="F834" s="14">
        <v>29</v>
      </c>
      <c r="G834" s="14">
        <f t="shared" si="112"/>
        <v>1</v>
      </c>
      <c r="H834" s="15">
        <f t="shared" si="113"/>
        <v>1068.9655172413793</v>
      </c>
      <c r="I834" s="15">
        <f t="shared" si="114"/>
        <v>31000</v>
      </c>
      <c r="J834" s="14">
        <f t="shared" si="115"/>
        <v>3720</v>
      </c>
      <c r="K834" s="15">
        <f t="shared" si="116"/>
        <v>232.5</v>
      </c>
      <c r="L834" s="15">
        <f t="shared" si="117"/>
        <v>27047.5</v>
      </c>
      <c r="M834" s="14"/>
      <c r="N834" s="14"/>
    </row>
    <row r="835" ht="14.25">
      <c r="A835" s="14">
        <v>833</v>
      </c>
      <c r="B835" s="14" t="str">
        <f t="shared" si="111"/>
        <v>Empl_833</v>
      </c>
      <c r="C835" s="14" t="s">
        <v>11</v>
      </c>
      <c r="D835" s="14">
        <v>22000</v>
      </c>
      <c r="E835" s="14">
        <f t="shared" ref="E835:E898" ca="1" si="118">DAY(EOMONTH(TODAY(),0))</f>
        <v>30</v>
      </c>
      <c r="F835" s="14">
        <v>26</v>
      </c>
      <c r="G835" s="14">
        <f t="shared" si="112"/>
        <v>4</v>
      </c>
      <c r="H835" s="15">
        <f t="shared" si="113"/>
        <v>846.15384615384619</v>
      </c>
      <c r="I835" s="15">
        <f t="shared" si="114"/>
        <v>22000</v>
      </c>
      <c r="J835" s="14">
        <f t="shared" si="115"/>
        <v>2640</v>
      </c>
      <c r="K835" s="15">
        <f t="shared" si="116"/>
        <v>165</v>
      </c>
      <c r="L835" s="15">
        <f t="shared" si="117"/>
        <v>19195</v>
      </c>
      <c r="M835" s="14"/>
      <c r="N835" s="14"/>
    </row>
    <row r="836" ht="14.25">
      <c r="A836" s="14">
        <v>834</v>
      </c>
      <c r="B836" s="14" t="str">
        <f t="shared" si="111"/>
        <v>Empl_834</v>
      </c>
      <c r="C836" s="14" t="s">
        <v>8</v>
      </c>
      <c r="D836" s="14">
        <v>23000</v>
      </c>
      <c r="E836" s="14">
        <f t="shared" ca="1" si="118"/>
        <v>30</v>
      </c>
      <c r="F836" s="14">
        <v>30</v>
      </c>
      <c r="G836" s="14">
        <f t="shared" si="112"/>
        <v>0</v>
      </c>
      <c r="H836" s="15">
        <f t="shared" si="113"/>
        <v>766.66666666666663</v>
      </c>
      <c r="I836" s="15">
        <f t="shared" si="114"/>
        <v>23000</v>
      </c>
      <c r="J836" s="14">
        <f t="shared" si="115"/>
        <v>2760</v>
      </c>
      <c r="K836" s="15">
        <f t="shared" si="116"/>
        <v>172.5</v>
      </c>
      <c r="L836" s="15">
        <f t="shared" si="117"/>
        <v>20067.5</v>
      </c>
      <c r="M836" s="14"/>
      <c r="N836" s="14"/>
    </row>
    <row r="837" ht="14.25">
      <c r="A837" s="14">
        <v>835</v>
      </c>
      <c r="B837" s="14" t="str">
        <f t="shared" si="111"/>
        <v>Empl_835</v>
      </c>
      <c r="C837" s="14" t="s">
        <v>12</v>
      </c>
      <c r="D837" s="14">
        <v>60000</v>
      </c>
      <c r="E837" s="14">
        <f t="shared" ca="1" si="118"/>
        <v>30</v>
      </c>
      <c r="F837" s="14">
        <v>28</v>
      </c>
      <c r="G837" s="14">
        <f t="shared" si="112"/>
        <v>2</v>
      </c>
      <c r="H837" s="15">
        <f t="shared" si="113"/>
        <v>2142.8571428571427</v>
      </c>
      <c r="I837" s="15">
        <f t="shared" si="114"/>
        <v>59999.999999999993</v>
      </c>
      <c r="J837" s="14">
        <f t="shared" si="115"/>
        <v>7199.9999999999991</v>
      </c>
      <c r="K837" s="15">
        <f t="shared" si="116"/>
        <v>449.99999999999994</v>
      </c>
      <c r="L837" s="15">
        <f t="shared" si="117"/>
        <v>52349.999999999993</v>
      </c>
      <c r="M837" s="14"/>
      <c r="N837" s="14"/>
    </row>
    <row r="838" ht="14.25">
      <c r="A838" s="14">
        <v>836</v>
      </c>
      <c r="B838" s="14" t="str">
        <f t="shared" si="111"/>
        <v>Empl_836</v>
      </c>
      <c r="C838" s="14" t="s">
        <v>10</v>
      </c>
      <c r="D838" s="14">
        <v>59000</v>
      </c>
      <c r="E838" s="14">
        <f t="shared" ca="1" si="118"/>
        <v>30</v>
      </c>
      <c r="F838" s="14">
        <v>25</v>
      </c>
      <c r="G838" s="14">
        <f t="shared" si="112"/>
        <v>5</v>
      </c>
      <c r="H838" s="15">
        <f t="shared" si="113"/>
        <v>2360</v>
      </c>
      <c r="I838" s="15">
        <f t="shared" si="114"/>
        <v>59000</v>
      </c>
      <c r="J838" s="14">
        <f t="shared" si="115"/>
        <v>7080</v>
      </c>
      <c r="K838" s="15">
        <f t="shared" si="116"/>
        <v>442.5</v>
      </c>
      <c r="L838" s="15">
        <f t="shared" si="117"/>
        <v>51477.5</v>
      </c>
      <c r="M838" s="14"/>
      <c r="N838" s="14"/>
    </row>
    <row r="839" ht="14.25">
      <c r="A839" s="14">
        <v>837</v>
      </c>
      <c r="B839" s="14" t="str">
        <f t="shared" si="111"/>
        <v>Empl_837</v>
      </c>
      <c r="C839" s="14" t="s">
        <v>13</v>
      </c>
      <c r="D839" s="14">
        <v>37000</v>
      </c>
      <c r="E839" s="14">
        <f t="shared" ca="1" si="118"/>
        <v>30</v>
      </c>
      <c r="F839" s="14">
        <v>24</v>
      </c>
      <c r="G839" s="14">
        <f t="shared" si="112"/>
        <v>6</v>
      </c>
      <c r="H839" s="15">
        <f t="shared" si="113"/>
        <v>1541.6666666666667</v>
      </c>
      <c r="I839" s="15">
        <f t="shared" si="114"/>
        <v>37000</v>
      </c>
      <c r="J839" s="14">
        <f t="shared" si="115"/>
        <v>4440</v>
      </c>
      <c r="K839" s="15">
        <f t="shared" si="116"/>
        <v>277.5</v>
      </c>
      <c r="L839" s="15">
        <f t="shared" si="117"/>
        <v>32282.5</v>
      </c>
      <c r="M839" s="14"/>
      <c r="N839" s="14"/>
    </row>
    <row r="840" ht="14.25">
      <c r="A840" s="14">
        <v>838</v>
      </c>
      <c r="B840" s="14" t="str">
        <f t="shared" si="111"/>
        <v>Empl_838</v>
      </c>
      <c r="C840" s="14" t="s">
        <v>9</v>
      </c>
      <c r="D840" s="14">
        <v>22000</v>
      </c>
      <c r="E840" s="14">
        <f t="shared" ca="1" si="118"/>
        <v>30</v>
      </c>
      <c r="F840" s="14">
        <v>28</v>
      </c>
      <c r="G840" s="14">
        <f t="shared" si="112"/>
        <v>2</v>
      </c>
      <c r="H840" s="15">
        <f t="shared" si="113"/>
        <v>785.71428571428567</v>
      </c>
      <c r="I840" s="15">
        <f t="shared" si="114"/>
        <v>22000</v>
      </c>
      <c r="J840" s="14">
        <f t="shared" si="115"/>
        <v>2640</v>
      </c>
      <c r="K840" s="15">
        <f t="shared" si="116"/>
        <v>165</v>
      </c>
      <c r="L840" s="15">
        <f t="shared" si="117"/>
        <v>19195</v>
      </c>
      <c r="M840" s="14"/>
      <c r="N840" s="14"/>
    </row>
    <row r="841" ht="14.25">
      <c r="A841" s="14">
        <v>839</v>
      </c>
      <c r="B841" s="14" t="str">
        <f t="shared" si="111"/>
        <v>Empl_839</v>
      </c>
      <c r="C841" s="14" t="s">
        <v>11</v>
      </c>
      <c r="D841" s="14">
        <v>39000</v>
      </c>
      <c r="E841" s="14">
        <f t="shared" ca="1" si="118"/>
        <v>30</v>
      </c>
      <c r="F841" s="14">
        <v>25</v>
      </c>
      <c r="G841" s="14">
        <f t="shared" si="112"/>
        <v>5</v>
      </c>
      <c r="H841" s="15">
        <f t="shared" si="113"/>
        <v>1560</v>
      </c>
      <c r="I841" s="15">
        <f t="shared" si="114"/>
        <v>39000</v>
      </c>
      <c r="J841" s="14">
        <f t="shared" si="115"/>
        <v>4680</v>
      </c>
      <c r="K841" s="15">
        <f t="shared" si="116"/>
        <v>292.5</v>
      </c>
      <c r="L841" s="15">
        <f t="shared" si="117"/>
        <v>34027.5</v>
      </c>
      <c r="M841" s="14"/>
      <c r="N841" s="14"/>
    </row>
    <row r="842" ht="14.25">
      <c r="A842" s="14">
        <v>840</v>
      </c>
      <c r="B842" s="14" t="str">
        <f t="shared" si="111"/>
        <v>Empl_840</v>
      </c>
      <c r="C842" s="14" t="s">
        <v>8</v>
      </c>
      <c r="D842" s="14">
        <v>16000</v>
      </c>
      <c r="E842" s="14">
        <f t="shared" ca="1" si="118"/>
        <v>30</v>
      </c>
      <c r="F842" s="14">
        <v>24</v>
      </c>
      <c r="G842" s="14">
        <f t="shared" si="112"/>
        <v>6</v>
      </c>
      <c r="H842" s="15">
        <f t="shared" si="113"/>
        <v>666.66666666666663</v>
      </c>
      <c r="I842" s="15">
        <f t="shared" si="114"/>
        <v>16000</v>
      </c>
      <c r="J842" s="14">
        <f t="shared" si="115"/>
        <v>1920</v>
      </c>
      <c r="K842" s="15">
        <f t="shared" si="116"/>
        <v>120</v>
      </c>
      <c r="L842" s="15">
        <f t="shared" si="117"/>
        <v>13960</v>
      </c>
      <c r="M842" s="14"/>
      <c r="N842" s="14"/>
    </row>
    <row r="843" ht="14.25">
      <c r="A843" s="14">
        <v>841</v>
      </c>
      <c r="B843" s="14" t="str">
        <f t="shared" si="111"/>
        <v>Empl_841</v>
      </c>
      <c r="C843" s="14" t="s">
        <v>12</v>
      </c>
      <c r="D843" s="14">
        <v>15000</v>
      </c>
      <c r="E843" s="14">
        <f t="shared" ca="1" si="118"/>
        <v>30</v>
      </c>
      <c r="F843" s="14">
        <v>28</v>
      </c>
      <c r="G843" s="14">
        <f t="shared" si="112"/>
        <v>2</v>
      </c>
      <c r="H843" s="15">
        <f t="shared" si="113"/>
        <v>535.71428571428567</v>
      </c>
      <c r="I843" s="15">
        <f t="shared" si="114"/>
        <v>14999.999999999998</v>
      </c>
      <c r="J843" s="14">
        <f t="shared" si="115"/>
        <v>1799.9999999999998</v>
      </c>
      <c r="K843" s="15">
        <f t="shared" si="116"/>
        <v>112.49999999999999</v>
      </c>
      <c r="L843" s="15">
        <f t="shared" si="117"/>
        <v>13087.499999999998</v>
      </c>
      <c r="M843" s="14"/>
      <c r="N843" s="14"/>
    </row>
    <row r="844" ht="14.25">
      <c r="A844" s="14">
        <v>842</v>
      </c>
      <c r="B844" s="14" t="str">
        <f t="shared" si="111"/>
        <v>Empl_842</v>
      </c>
      <c r="C844" s="14" t="s">
        <v>10</v>
      </c>
      <c r="D844" s="14">
        <v>38000</v>
      </c>
      <c r="E844" s="14">
        <f t="shared" ca="1" si="118"/>
        <v>30</v>
      </c>
      <c r="F844" s="14">
        <v>24</v>
      </c>
      <c r="G844" s="14">
        <f t="shared" si="112"/>
        <v>6</v>
      </c>
      <c r="H844" s="15">
        <f t="shared" si="113"/>
        <v>1583.3333333333333</v>
      </c>
      <c r="I844" s="15">
        <f t="shared" si="114"/>
        <v>38000</v>
      </c>
      <c r="J844" s="14">
        <f t="shared" si="115"/>
        <v>4560</v>
      </c>
      <c r="K844" s="15">
        <f t="shared" si="116"/>
        <v>285</v>
      </c>
      <c r="L844" s="15">
        <f t="shared" si="117"/>
        <v>33155</v>
      </c>
      <c r="M844" s="14"/>
      <c r="N844" s="14"/>
    </row>
    <row r="845" ht="14.25">
      <c r="A845" s="14">
        <v>843</v>
      </c>
      <c r="B845" s="14" t="str">
        <f t="shared" si="111"/>
        <v>Empl_843</v>
      </c>
      <c r="C845" s="14" t="s">
        <v>13</v>
      </c>
      <c r="D845" s="14">
        <v>35000</v>
      </c>
      <c r="E845" s="14">
        <f t="shared" ca="1" si="118"/>
        <v>30</v>
      </c>
      <c r="F845" s="14">
        <v>21</v>
      </c>
      <c r="G845" s="14">
        <f t="shared" si="112"/>
        <v>9</v>
      </c>
      <c r="H845" s="15">
        <f t="shared" si="113"/>
        <v>1666.6666666666667</v>
      </c>
      <c r="I845" s="15">
        <f t="shared" si="114"/>
        <v>35000</v>
      </c>
      <c r="J845" s="14">
        <f t="shared" si="115"/>
        <v>4200</v>
      </c>
      <c r="K845" s="15">
        <f t="shared" si="116"/>
        <v>262.5</v>
      </c>
      <c r="L845" s="15">
        <f t="shared" si="117"/>
        <v>30537.5</v>
      </c>
      <c r="M845" s="14"/>
      <c r="N845" s="14"/>
    </row>
    <row r="846" ht="14.25">
      <c r="A846" s="14">
        <v>844</v>
      </c>
      <c r="B846" s="14" t="str">
        <f t="shared" si="111"/>
        <v>Empl_844</v>
      </c>
      <c r="C846" s="14" t="s">
        <v>9</v>
      </c>
      <c r="D846" s="14">
        <v>32000</v>
      </c>
      <c r="E846" s="14">
        <f t="shared" ca="1" si="118"/>
        <v>30</v>
      </c>
      <c r="F846" s="14">
        <v>22</v>
      </c>
      <c r="G846" s="14">
        <f t="shared" si="112"/>
        <v>8</v>
      </c>
      <c r="H846" s="15">
        <f t="shared" si="113"/>
        <v>1454.5454545454545</v>
      </c>
      <c r="I846" s="15">
        <f t="shared" si="114"/>
        <v>32000</v>
      </c>
      <c r="J846" s="14">
        <f t="shared" si="115"/>
        <v>3840</v>
      </c>
      <c r="K846" s="15">
        <f t="shared" si="116"/>
        <v>240</v>
      </c>
      <c r="L846" s="15">
        <f t="shared" si="117"/>
        <v>27920</v>
      </c>
      <c r="M846" s="14"/>
      <c r="N846" s="14"/>
    </row>
    <row r="847" ht="14.25">
      <c r="A847" s="14">
        <v>845</v>
      </c>
      <c r="B847" s="14" t="str">
        <f t="shared" si="111"/>
        <v>Empl_845</v>
      </c>
      <c r="C847" s="14" t="s">
        <v>11</v>
      </c>
      <c r="D847" s="14">
        <v>43000</v>
      </c>
      <c r="E847" s="14">
        <f t="shared" ca="1" si="118"/>
        <v>30</v>
      </c>
      <c r="F847" s="14">
        <v>28</v>
      </c>
      <c r="G847" s="14">
        <f t="shared" si="112"/>
        <v>2</v>
      </c>
      <c r="H847" s="15">
        <f t="shared" si="113"/>
        <v>1535.7142857142858</v>
      </c>
      <c r="I847" s="15">
        <f t="shared" si="114"/>
        <v>43000</v>
      </c>
      <c r="J847" s="14">
        <f t="shared" si="115"/>
        <v>5160</v>
      </c>
      <c r="K847" s="15">
        <f t="shared" si="116"/>
        <v>322.5</v>
      </c>
      <c r="L847" s="15">
        <f t="shared" si="117"/>
        <v>37517.5</v>
      </c>
      <c r="M847" s="14"/>
      <c r="N847" s="14"/>
    </row>
    <row r="848" ht="14.25">
      <c r="A848" s="14">
        <v>846</v>
      </c>
      <c r="B848" s="14" t="str">
        <f t="shared" si="111"/>
        <v>Empl_846</v>
      </c>
      <c r="C848" s="14" t="s">
        <v>8</v>
      </c>
      <c r="D848" s="14">
        <v>31000</v>
      </c>
      <c r="E848" s="14">
        <f t="shared" ca="1" si="118"/>
        <v>30</v>
      </c>
      <c r="F848" s="14">
        <v>21</v>
      </c>
      <c r="G848" s="14">
        <f t="shared" si="112"/>
        <v>9</v>
      </c>
      <c r="H848" s="15">
        <f t="shared" si="113"/>
        <v>1476.1904761904761</v>
      </c>
      <c r="I848" s="15">
        <f t="shared" si="114"/>
        <v>31000</v>
      </c>
      <c r="J848" s="14">
        <f t="shared" si="115"/>
        <v>3720</v>
      </c>
      <c r="K848" s="15">
        <f t="shared" si="116"/>
        <v>232.5</v>
      </c>
      <c r="L848" s="15">
        <f t="shared" si="117"/>
        <v>27047.5</v>
      </c>
      <c r="M848" s="14"/>
      <c r="N848" s="14"/>
    </row>
    <row r="849" ht="14.25">
      <c r="A849" s="14">
        <v>847</v>
      </c>
      <c r="B849" s="14" t="str">
        <f t="shared" si="111"/>
        <v>Empl_847</v>
      </c>
      <c r="C849" s="14" t="s">
        <v>12</v>
      </c>
      <c r="D849" s="14">
        <v>19000</v>
      </c>
      <c r="E849" s="14">
        <f t="shared" ca="1" si="118"/>
        <v>30</v>
      </c>
      <c r="F849" s="14">
        <v>23</v>
      </c>
      <c r="G849" s="14">
        <f t="shared" si="112"/>
        <v>7</v>
      </c>
      <c r="H849" s="15">
        <f t="shared" si="113"/>
        <v>826.08695652173913</v>
      </c>
      <c r="I849" s="15">
        <f t="shared" si="114"/>
        <v>19000</v>
      </c>
      <c r="J849" s="14">
        <f t="shared" si="115"/>
        <v>2280</v>
      </c>
      <c r="K849" s="15">
        <f t="shared" si="116"/>
        <v>142.5</v>
      </c>
      <c r="L849" s="15">
        <f t="shared" si="117"/>
        <v>16577.5</v>
      </c>
      <c r="M849" s="14"/>
      <c r="N849" s="14"/>
    </row>
    <row r="850" ht="14.25">
      <c r="A850" s="14">
        <v>848</v>
      </c>
      <c r="B850" s="14" t="str">
        <f t="shared" si="111"/>
        <v>Empl_848</v>
      </c>
      <c r="C850" s="14" t="s">
        <v>10</v>
      </c>
      <c r="D850" s="14">
        <v>31000</v>
      </c>
      <c r="E850" s="14">
        <f t="shared" ca="1" si="118"/>
        <v>30</v>
      </c>
      <c r="F850" s="14">
        <v>30</v>
      </c>
      <c r="G850" s="14">
        <f t="shared" si="112"/>
        <v>0</v>
      </c>
      <c r="H850" s="15">
        <f t="shared" si="113"/>
        <v>1033.3333333333333</v>
      </c>
      <c r="I850" s="15">
        <f t="shared" si="114"/>
        <v>30999.999999999996</v>
      </c>
      <c r="J850" s="14">
        <f t="shared" si="115"/>
        <v>3719.9999999999995</v>
      </c>
      <c r="K850" s="15">
        <f t="shared" si="116"/>
        <v>232.49999999999997</v>
      </c>
      <c r="L850" s="15">
        <f t="shared" si="117"/>
        <v>27047.499999999996</v>
      </c>
      <c r="M850" s="14"/>
      <c r="N850" s="14"/>
    </row>
    <row r="851" ht="14.25">
      <c r="A851" s="14">
        <v>849</v>
      </c>
      <c r="B851" s="14" t="str">
        <f t="shared" si="111"/>
        <v>Empl_849</v>
      </c>
      <c r="C851" s="14" t="s">
        <v>13</v>
      </c>
      <c r="D851" s="14">
        <v>35000</v>
      </c>
      <c r="E851" s="14">
        <f t="shared" ca="1" si="118"/>
        <v>30</v>
      </c>
      <c r="F851" s="14">
        <v>21</v>
      </c>
      <c r="G851" s="14">
        <f t="shared" si="112"/>
        <v>9</v>
      </c>
      <c r="H851" s="15">
        <f t="shared" si="113"/>
        <v>1666.6666666666667</v>
      </c>
      <c r="I851" s="15">
        <f t="shared" si="114"/>
        <v>35000</v>
      </c>
      <c r="J851" s="14">
        <f t="shared" si="115"/>
        <v>4200</v>
      </c>
      <c r="K851" s="15">
        <f t="shared" si="116"/>
        <v>262.5</v>
      </c>
      <c r="L851" s="15">
        <f t="shared" si="117"/>
        <v>30537.5</v>
      </c>
      <c r="M851" s="14"/>
      <c r="N851" s="14"/>
    </row>
    <row r="852" ht="14.25">
      <c r="A852" s="14">
        <v>850</v>
      </c>
      <c r="B852" s="14" t="str">
        <f t="shared" si="111"/>
        <v>Empl_850</v>
      </c>
      <c r="C852" s="14" t="s">
        <v>9</v>
      </c>
      <c r="D852" s="14">
        <v>40000</v>
      </c>
      <c r="E852" s="14">
        <f t="shared" ca="1" si="118"/>
        <v>30</v>
      </c>
      <c r="F852" s="14">
        <v>28</v>
      </c>
      <c r="G852" s="14">
        <f t="shared" si="112"/>
        <v>2</v>
      </c>
      <c r="H852" s="15">
        <f t="shared" si="113"/>
        <v>1428.5714285714287</v>
      </c>
      <c r="I852" s="15">
        <f t="shared" si="114"/>
        <v>40000</v>
      </c>
      <c r="J852" s="14">
        <f t="shared" si="115"/>
        <v>4800</v>
      </c>
      <c r="K852" s="15">
        <f t="shared" si="116"/>
        <v>300</v>
      </c>
      <c r="L852" s="15">
        <f t="shared" si="117"/>
        <v>34900</v>
      </c>
      <c r="M852" s="14"/>
      <c r="N852" s="14"/>
    </row>
    <row r="853" ht="14.25">
      <c r="A853" s="14">
        <v>851</v>
      </c>
      <c r="B853" s="14" t="str">
        <f t="shared" si="111"/>
        <v>Empl_851</v>
      </c>
      <c r="C853" s="14" t="s">
        <v>11</v>
      </c>
      <c r="D853" s="14">
        <v>58000</v>
      </c>
      <c r="E853" s="14">
        <f t="shared" ca="1" si="118"/>
        <v>30</v>
      </c>
      <c r="F853" s="14">
        <v>25</v>
      </c>
      <c r="G853" s="14">
        <f t="shared" si="112"/>
        <v>5</v>
      </c>
      <c r="H853" s="15">
        <f t="shared" si="113"/>
        <v>2320</v>
      </c>
      <c r="I853" s="15">
        <f t="shared" si="114"/>
        <v>58000</v>
      </c>
      <c r="J853" s="14">
        <f t="shared" si="115"/>
        <v>6960</v>
      </c>
      <c r="K853" s="15">
        <f t="shared" si="116"/>
        <v>435</v>
      </c>
      <c r="L853" s="15">
        <f t="shared" si="117"/>
        <v>50605</v>
      </c>
      <c r="M853" s="14"/>
      <c r="N853" s="14"/>
    </row>
    <row r="854" ht="14.25">
      <c r="A854" s="14">
        <v>852</v>
      </c>
      <c r="B854" s="14" t="str">
        <f t="shared" si="111"/>
        <v>Empl_852</v>
      </c>
      <c r="C854" s="14" t="s">
        <v>8</v>
      </c>
      <c r="D854" s="14">
        <v>24000</v>
      </c>
      <c r="E854" s="14">
        <f t="shared" ca="1" si="118"/>
        <v>30</v>
      </c>
      <c r="F854" s="14">
        <v>21</v>
      </c>
      <c r="G854" s="14">
        <f t="shared" si="112"/>
        <v>9</v>
      </c>
      <c r="H854" s="15">
        <f t="shared" si="113"/>
        <v>1142.8571428571429</v>
      </c>
      <c r="I854" s="15">
        <f t="shared" si="114"/>
        <v>24000</v>
      </c>
      <c r="J854" s="14">
        <f t="shared" si="115"/>
        <v>2880</v>
      </c>
      <c r="K854" s="15">
        <f t="shared" si="116"/>
        <v>180</v>
      </c>
      <c r="L854" s="15">
        <f t="shared" si="117"/>
        <v>20940</v>
      </c>
      <c r="M854" s="14"/>
      <c r="N854" s="14"/>
    </row>
    <row r="855" ht="14.25">
      <c r="A855" s="14">
        <v>853</v>
      </c>
      <c r="B855" s="14" t="str">
        <f t="shared" si="111"/>
        <v>Empl_853</v>
      </c>
      <c r="C855" s="14" t="s">
        <v>12</v>
      </c>
      <c r="D855" s="14">
        <v>20000</v>
      </c>
      <c r="E855" s="14">
        <f t="shared" ca="1" si="118"/>
        <v>30</v>
      </c>
      <c r="F855" s="14">
        <v>29</v>
      </c>
      <c r="G855" s="14">
        <f t="shared" si="112"/>
        <v>1</v>
      </c>
      <c r="H855" s="15">
        <f t="shared" si="113"/>
        <v>689.65517241379314</v>
      </c>
      <c r="I855" s="15">
        <f t="shared" si="114"/>
        <v>20000</v>
      </c>
      <c r="J855" s="14">
        <f t="shared" si="115"/>
        <v>2400</v>
      </c>
      <c r="K855" s="15">
        <f t="shared" si="116"/>
        <v>150</v>
      </c>
      <c r="L855" s="15">
        <f t="shared" si="117"/>
        <v>17450</v>
      </c>
      <c r="M855" s="14"/>
      <c r="N855" s="14"/>
    </row>
    <row r="856" ht="14.25">
      <c r="A856" s="14">
        <v>854</v>
      </c>
      <c r="B856" s="14" t="str">
        <f t="shared" si="111"/>
        <v>Empl_854</v>
      </c>
      <c r="C856" s="14" t="s">
        <v>10</v>
      </c>
      <c r="D856" s="14">
        <v>20000</v>
      </c>
      <c r="E856" s="14">
        <f t="shared" ca="1" si="118"/>
        <v>30</v>
      </c>
      <c r="F856" s="14">
        <v>26</v>
      </c>
      <c r="G856" s="14">
        <f t="shared" si="112"/>
        <v>4</v>
      </c>
      <c r="H856" s="15">
        <f t="shared" si="113"/>
        <v>769.23076923076928</v>
      </c>
      <c r="I856" s="15">
        <f t="shared" si="114"/>
        <v>20000</v>
      </c>
      <c r="J856" s="14">
        <f t="shared" si="115"/>
        <v>2400</v>
      </c>
      <c r="K856" s="15">
        <f t="shared" si="116"/>
        <v>150</v>
      </c>
      <c r="L856" s="15">
        <f t="shared" si="117"/>
        <v>17450</v>
      </c>
      <c r="M856" s="14"/>
      <c r="N856" s="14"/>
    </row>
    <row r="857" ht="14.25">
      <c r="A857" s="14">
        <v>855</v>
      </c>
      <c r="B857" s="14" t="str">
        <f t="shared" si="111"/>
        <v>Empl_855</v>
      </c>
      <c r="C857" s="14" t="s">
        <v>13</v>
      </c>
      <c r="D857" s="14">
        <v>40000</v>
      </c>
      <c r="E857" s="14">
        <f t="shared" ca="1" si="118"/>
        <v>30</v>
      </c>
      <c r="F857" s="14">
        <v>21</v>
      </c>
      <c r="G857" s="14">
        <f t="shared" si="112"/>
        <v>9</v>
      </c>
      <c r="H857" s="15">
        <f t="shared" si="113"/>
        <v>1904.7619047619048</v>
      </c>
      <c r="I857" s="15">
        <f t="shared" si="114"/>
        <v>40000</v>
      </c>
      <c r="J857" s="14">
        <f t="shared" si="115"/>
        <v>4800</v>
      </c>
      <c r="K857" s="15">
        <f t="shared" si="116"/>
        <v>300</v>
      </c>
      <c r="L857" s="15">
        <f t="shared" si="117"/>
        <v>34900</v>
      </c>
      <c r="M857" s="14"/>
      <c r="N857" s="14"/>
    </row>
    <row r="858" ht="14.25">
      <c r="A858" s="14">
        <v>856</v>
      </c>
      <c r="B858" s="14" t="str">
        <f t="shared" si="111"/>
        <v>Empl_856</v>
      </c>
      <c r="C858" s="14" t="s">
        <v>9</v>
      </c>
      <c r="D858" s="14">
        <v>30000</v>
      </c>
      <c r="E858" s="14">
        <f t="shared" ca="1" si="118"/>
        <v>30</v>
      </c>
      <c r="F858" s="14">
        <v>26</v>
      </c>
      <c r="G858" s="14">
        <f t="shared" si="112"/>
        <v>4</v>
      </c>
      <c r="H858" s="15">
        <f t="shared" si="113"/>
        <v>1153.8461538461538</v>
      </c>
      <c r="I858" s="15">
        <f t="shared" si="114"/>
        <v>30000</v>
      </c>
      <c r="J858" s="14">
        <f t="shared" si="115"/>
        <v>3600</v>
      </c>
      <c r="K858" s="15">
        <f t="shared" si="116"/>
        <v>225</v>
      </c>
      <c r="L858" s="15">
        <f t="shared" si="117"/>
        <v>26175</v>
      </c>
      <c r="M858" s="14"/>
      <c r="N858" s="14"/>
    </row>
    <row r="859" ht="14.25">
      <c r="A859" s="14">
        <v>857</v>
      </c>
      <c r="B859" s="14" t="str">
        <f t="shared" si="111"/>
        <v>Empl_857</v>
      </c>
      <c r="C859" s="14" t="s">
        <v>11</v>
      </c>
      <c r="D859" s="14">
        <v>54000</v>
      </c>
      <c r="E859" s="14">
        <f t="shared" ca="1" si="118"/>
        <v>30</v>
      </c>
      <c r="F859" s="14">
        <v>28</v>
      </c>
      <c r="G859" s="14">
        <f t="shared" si="112"/>
        <v>2</v>
      </c>
      <c r="H859" s="15">
        <f t="shared" si="113"/>
        <v>1928.5714285714287</v>
      </c>
      <c r="I859" s="15">
        <f t="shared" si="114"/>
        <v>54000</v>
      </c>
      <c r="J859" s="14">
        <f t="shared" si="115"/>
        <v>6480</v>
      </c>
      <c r="K859" s="15">
        <f t="shared" si="116"/>
        <v>405</v>
      </c>
      <c r="L859" s="15">
        <f t="shared" si="117"/>
        <v>47115</v>
      </c>
      <c r="M859" s="14"/>
      <c r="N859" s="14"/>
    </row>
    <row r="860" ht="14.25">
      <c r="A860" s="14">
        <v>858</v>
      </c>
      <c r="B860" s="14" t="str">
        <f t="shared" si="111"/>
        <v>Empl_858</v>
      </c>
      <c r="C860" s="14" t="s">
        <v>8</v>
      </c>
      <c r="D860" s="14">
        <v>16000</v>
      </c>
      <c r="E860" s="14">
        <f t="shared" ca="1" si="118"/>
        <v>30</v>
      </c>
      <c r="F860" s="14">
        <v>23</v>
      </c>
      <c r="G860" s="14">
        <f t="shared" si="112"/>
        <v>7</v>
      </c>
      <c r="H860" s="15">
        <f t="shared" si="113"/>
        <v>695.6521739130435</v>
      </c>
      <c r="I860" s="15">
        <f t="shared" si="114"/>
        <v>16000</v>
      </c>
      <c r="J860" s="14">
        <f t="shared" si="115"/>
        <v>1920</v>
      </c>
      <c r="K860" s="15">
        <f t="shared" si="116"/>
        <v>120</v>
      </c>
      <c r="L860" s="15">
        <f t="shared" si="117"/>
        <v>13960</v>
      </c>
      <c r="M860" s="14"/>
      <c r="N860" s="14"/>
    </row>
    <row r="861" ht="14.25">
      <c r="A861" s="14">
        <v>859</v>
      </c>
      <c r="B861" s="14" t="str">
        <f t="shared" si="111"/>
        <v>Empl_859</v>
      </c>
      <c r="C861" s="14" t="s">
        <v>12</v>
      </c>
      <c r="D861" s="14">
        <v>53000</v>
      </c>
      <c r="E861" s="14">
        <f t="shared" ca="1" si="118"/>
        <v>30</v>
      </c>
      <c r="F861" s="14">
        <v>25</v>
      </c>
      <c r="G861" s="14">
        <f t="shared" si="112"/>
        <v>5</v>
      </c>
      <c r="H861" s="15">
        <f t="shared" si="113"/>
        <v>2120</v>
      </c>
      <c r="I861" s="15">
        <f t="shared" si="114"/>
        <v>53000</v>
      </c>
      <c r="J861" s="14">
        <f t="shared" si="115"/>
        <v>6360</v>
      </c>
      <c r="K861" s="15">
        <f t="shared" si="116"/>
        <v>397.5</v>
      </c>
      <c r="L861" s="15">
        <f t="shared" si="117"/>
        <v>46242.5</v>
      </c>
      <c r="M861" s="14"/>
      <c r="N861" s="14"/>
    </row>
    <row r="862" ht="14.25">
      <c r="A862" s="14">
        <v>860</v>
      </c>
      <c r="B862" s="14" t="str">
        <f t="shared" si="111"/>
        <v>Empl_860</v>
      </c>
      <c r="C862" s="14" t="s">
        <v>10</v>
      </c>
      <c r="D862" s="14">
        <v>29000</v>
      </c>
      <c r="E862" s="14">
        <f t="shared" ca="1" si="118"/>
        <v>30</v>
      </c>
      <c r="F862" s="14">
        <v>23</v>
      </c>
      <c r="G862" s="14">
        <f t="shared" si="112"/>
        <v>7</v>
      </c>
      <c r="H862" s="15">
        <f t="shared" si="113"/>
        <v>1260.8695652173913</v>
      </c>
      <c r="I862" s="15">
        <f t="shared" si="114"/>
        <v>29000</v>
      </c>
      <c r="J862" s="14">
        <f t="shared" si="115"/>
        <v>3480</v>
      </c>
      <c r="K862" s="15">
        <f t="shared" si="116"/>
        <v>217.5</v>
      </c>
      <c r="L862" s="15">
        <f t="shared" si="117"/>
        <v>25302.5</v>
      </c>
      <c r="M862" s="14"/>
      <c r="N862" s="14"/>
    </row>
    <row r="863" ht="14.25">
      <c r="A863" s="14">
        <v>861</v>
      </c>
      <c r="B863" s="14" t="str">
        <f t="shared" si="111"/>
        <v>Empl_861</v>
      </c>
      <c r="C863" s="14" t="s">
        <v>13</v>
      </c>
      <c r="D863" s="14">
        <v>58000</v>
      </c>
      <c r="E863" s="14">
        <f t="shared" ca="1" si="118"/>
        <v>30</v>
      </c>
      <c r="F863" s="14">
        <v>24</v>
      </c>
      <c r="G863" s="14">
        <f t="shared" si="112"/>
        <v>6</v>
      </c>
      <c r="H863" s="15">
        <f t="shared" si="113"/>
        <v>2416.6666666666665</v>
      </c>
      <c r="I863" s="15">
        <f t="shared" si="114"/>
        <v>58000</v>
      </c>
      <c r="J863" s="14">
        <f t="shared" si="115"/>
        <v>6960</v>
      </c>
      <c r="K863" s="15">
        <f t="shared" si="116"/>
        <v>435</v>
      </c>
      <c r="L863" s="15">
        <f t="shared" si="117"/>
        <v>50605</v>
      </c>
      <c r="M863" s="14"/>
      <c r="N863" s="14"/>
    </row>
    <row r="864" ht="14.25">
      <c r="A864" s="14">
        <v>862</v>
      </c>
      <c r="B864" s="14" t="str">
        <f t="shared" si="111"/>
        <v>Empl_862</v>
      </c>
      <c r="C864" s="14" t="s">
        <v>9</v>
      </c>
      <c r="D864" s="14">
        <v>36000</v>
      </c>
      <c r="E864" s="14">
        <f t="shared" ca="1" si="118"/>
        <v>30</v>
      </c>
      <c r="F864" s="14">
        <v>24</v>
      </c>
      <c r="G864" s="14">
        <f t="shared" si="112"/>
        <v>6</v>
      </c>
      <c r="H864" s="15">
        <f t="shared" si="113"/>
        <v>1500</v>
      </c>
      <c r="I864" s="15">
        <f t="shared" si="114"/>
        <v>36000</v>
      </c>
      <c r="J864" s="14">
        <f t="shared" si="115"/>
        <v>4320</v>
      </c>
      <c r="K864" s="15">
        <f t="shared" si="116"/>
        <v>270</v>
      </c>
      <c r="L864" s="15">
        <f t="shared" si="117"/>
        <v>31410</v>
      </c>
      <c r="M864" s="14"/>
      <c r="N864" s="14"/>
    </row>
    <row r="865" ht="14.25">
      <c r="A865" s="14">
        <v>863</v>
      </c>
      <c r="B865" s="14" t="str">
        <f t="shared" si="111"/>
        <v>Empl_863</v>
      </c>
      <c r="C865" s="14" t="s">
        <v>11</v>
      </c>
      <c r="D865" s="14">
        <v>25000</v>
      </c>
      <c r="E865" s="14">
        <f t="shared" ca="1" si="118"/>
        <v>30</v>
      </c>
      <c r="F865" s="14">
        <v>30</v>
      </c>
      <c r="G865" s="14">
        <f t="shared" si="112"/>
        <v>0</v>
      </c>
      <c r="H865" s="15">
        <f t="shared" si="113"/>
        <v>833.33333333333337</v>
      </c>
      <c r="I865" s="15">
        <f t="shared" si="114"/>
        <v>25000</v>
      </c>
      <c r="J865" s="14">
        <f t="shared" si="115"/>
        <v>3000</v>
      </c>
      <c r="K865" s="15">
        <f t="shared" si="116"/>
        <v>187.5</v>
      </c>
      <c r="L865" s="15">
        <f t="shared" si="117"/>
        <v>21812.5</v>
      </c>
      <c r="M865" s="14"/>
      <c r="N865" s="14"/>
    </row>
    <row r="866" ht="14.25">
      <c r="A866" s="14">
        <v>864</v>
      </c>
      <c r="B866" s="14" t="str">
        <f t="shared" si="111"/>
        <v>Empl_864</v>
      </c>
      <c r="C866" s="14" t="s">
        <v>8</v>
      </c>
      <c r="D866" s="14">
        <v>57000</v>
      </c>
      <c r="E866" s="14">
        <f t="shared" ca="1" si="118"/>
        <v>30</v>
      </c>
      <c r="F866" s="14">
        <v>28</v>
      </c>
      <c r="G866" s="14">
        <f t="shared" si="112"/>
        <v>2</v>
      </c>
      <c r="H866" s="15">
        <f t="shared" si="113"/>
        <v>2035.7142857142858</v>
      </c>
      <c r="I866" s="15">
        <f t="shared" si="114"/>
        <v>57000</v>
      </c>
      <c r="J866" s="14">
        <f t="shared" si="115"/>
        <v>6840</v>
      </c>
      <c r="K866" s="15">
        <f t="shared" si="116"/>
        <v>427.5</v>
      </c>
      <c r="L866" s="15">
        <f t="shared" si="117"/>
        <v>49732.5</v>
      </c>
      <c r="M866" s="14"/>
      <c r="N866" s="14"/>
    </row>
    <row r="867" ht="14.25">
      <c r="A867" s="14">
        <v>865</v>
      </c>
      <c r="B867" s="14" t="str">
        <f t="shared" si="111"/>
        <v>Empl_865</v>
      </c>
      <c r="C867" s="14" t="s">
        <v>12</v>
      </c>
      <c r="D867" s="14">
        <v>27000</v>
      </c>
      <c r="E867" s="14">
        <f t="shared" ca="1" si="118"/>
        <v>30</v>
      </c>
      <c r="F867" s="14">
        <v>22</v>
      </c>
      <c r="G867" s="14">
        <f t="shared" si="112"/>
        <v>8</v>
      </c>
      <c r="H867" s="15">
        <f t="shared" si="113"/>
        <v>1227.2727272727273</v>
      </c>
      <c r="I867" s="15">
        <f t="shared" si="114"/>
        <v>27000</v>
      </c>
      <c r="J867" s="14">
        <f t="shared" si="115"/>
        <v>3240</v>
      </c>
      <c r="K867" s="15">
        <f t="shared" si="116"/>
        <v>202.5</v>
      </c>
      <c r="L867" s="15">
        <f t="shared" si="117"/>
        <v>23557.5</v>
      </c>
      <c r="M867" s="14"/>
      <c r="N867" s="14"/>
    </row>
    <row r="868" ht="14.25">
      <c r="A868" s="14">
        <v>866</v>
      </c>
      <c r="B868" s="14" t="str">
        <f t="shared" ref="B868:B931" si="119">"Empl_"&amp;A868</f>
        <v>Empl_866</v>
      </c>
      <c r="C868" s="14" t="s">
        <v>10</v>
      </c>
      <c r="D868" s="14">
        <v>20000</v>
      </c>
      <c r="E868" s="14">
        <f t="shared" ca="1" si="118"/>
        <v>30</v>
      </c>
      <c r="F868" s="14">
        <v>25</v>
      </c>
      <c r="G868" s="14">
        <f t="shared" ref="G868:G931" si="120">E868-F868</f>
        <v>5</v>
      </c>
      <c r="H868" s="15">
        <f t="shared" ref="H868:H931" si="121">D868/F868</f>
        <v>800</v>
      </c>
      <c r="I868" s="15">
        <f t="shared" ref="I868:I931" si="122">H868*F868</f>
        <v>20000</v>
      </c>
      <c r="J868" s="14">
        <f t="shared" ref="J868:J931" si="123">I868*12%</f>
        <v>2400</v>
      </c>
      <c r="K868" s="15">
        <f t="shared" ref="K868:K931" si="124">I868*0.75%</f>
        <v>150</v>
      </c>
      <c r="L868" s="15">
        <f t="shared" ref="L868:L931" si="125">I868-(J868+K868)</f>
        <v>17450</v>
      </c>
      <c r="M868" s="14"/>
      <c r="N868" s="14"/>
    </row>
    <row r="869" ht="14.25">
      <c r="A869" s="14">
        <v>867</v>
      </c>
      <c r="B869" s="14" t="str">
        <f t="shared" si="119"/>
        <v>Empl_867</v>
      </c>
      <c r="C869" s="14" t="s">
        <v>13</v>
      </c>
      <c r="D869" s="14">
        <v>47000</v>
      </c>
      <c r="E869" s="14">
        <f t="shared" ca="1" si="118"/>
        <v>30</v>
      </c>
      <c r="F869" s="14">
        <v>30</v>
      </c>
      <c r="G869" s="14">
        <f t="shared" si="120"/>
        <v>0</v>
      </c>
      <c r="H869" s="15">
        <f t="shared" si="121"/>
        <v>1566.6666666666667</v>
      </c>
      <c r="I869" s="15">
        <f t="shared" si="122"/>
        <v>47000</v>
      </c>
      <c r="J869" s="14">
        <f t="shared" si="123"/>
        <v>5640</v>
      </c>
      <c r="K869" s="15">
        <f t="shared" si="124"/>
        <v>352.5</v>
      </c>
      <c r="L869" s="15">
        <f t="shared" si="125"/>
        <v>41007.5</v>
      </c>
      <c r="M869" s="14"/>
      <c r="N869" s="14"/>
    </row>
    <row r="870" ht="14.25">
      <c r="A870" s="14">
        <v>868</v>
      </c>
      <c r="B870" s="14" t="str">
        <f t="shared" si="119"/>
        <v>Empl_868</v>
      </c>
      <c r="C870" s="14" t="s">
        <v>9</v>
      </c>
      <c r="D870" s="14">
        <v>49000</v>
      </c>
      <c r="E870" s="14">
        <f t="shared" ca="1" si="118"/>
        <v>30</v>
      </c>
      <c r="F870" s="14">
        <v>23</v>
      </c>
      <c r="G870" s="14">
        <f t="shared" si="120"/>
        <v>7</v>
      </c>
      <c r="H870" s="15">
        <f t="shared" si="121"/>
        <v>2130.4347826086955</v>
      </c>
      <c r="I870" s="15">
        <f t="shared" si="122"/>
        <v>49000</v>
      </c>
      <c r="J870" s="14">
        <f t="shared" si="123"/>
        <v>5880</v>
      </c>
      <c r="K870" s="15">
        <f t="shared" si="124"/>
        <v>367.5</v>
      </c>
      <c r="L870" s="15">
        <f t="shared" si="125"/>
        <v>42752.5</v>
      </c>
      <c r="M870" s="14"/>
      <c r="N870" s="14"/>
    </row>
    <row r="871" ht="14.25">
      <c r="A871" s="14">
        <v>869</v>
      </c>
      <c r="B871" s="14" t="str">
        <f t="shared" si="119"/>
        <v>Empl_869</v>
      </c>
      <c r="C871" s="14" t="s">
        <v>11</v>
      </c>
      <c r="D871" s="14">
        <v>31000</v>
      </c>
      <c r="E871" s="14">
        <f t="shared" ca="1" si="118"/>
        <v>30</v>
      </c>
      <c r="F871" s="14">
        <v>20</v>
      </c>
      <c r="G871" s="14">
        <f t="shared" si="120"/>
        <v>10</v>
      </c>
      <c r="H871" s="15">
        <f t="shared" si="121"/>
        <v>1550</v>
      </c>
      <c r="I871" s="15">
        <f t="shared" si="122"/>
        <v>31000</v>
      </c>
      <c r="J871" s="14">
        <f t="shared" si="123"/>
        <v>3720</v>
      </c>
      <c r="K871" s="15">
        <f t="shared" si="124"/>
        <v>232.5</v>
      </c>
      <c r="L871" s="15">
        <f t="shared" si="125"/>
        <v>27047.5</v>
      </c>
      <c r="M871" s="14"/>
      <c r="N871" s="14"/>
    </row>
    <row r="872" ht="14.25">
      <c r="A872" s="14">
        <v>870</v>
      </c>
      <c r="B872" s="14" t="str">
        <f t="shared" si="119"/>
        <v>Empl_870</v>
      </c>
      <c r="C872" s="14" t="s">
        <v>8</v>
      </c>
      <c r="D872" s="14">
        <v>52000</v>
      </c>
      <c r="E872" s="14">
        <f t="shared" ca="1" si="118"/>
        <v>30</v>
      </c>
      <c r="F872" s="14">
        <v>28</v>
      </c>
      <c r="G872" s="14">
        <f t="shared" si="120"/>
        <v>2</v>
      </c>
      <c r="H872" s="15">
        <f t="shared" si="121"/>
        <v>1857.1428571428571</v>
      </c>
      <c r="I872" s="15">
        <f t="shared" si="122"/>
        <v>52000</v>
      </c>
      <c r="J872" s="14">
        <f t="shared" si="123"/>
        <v>6240</v>
      </c>
      <c r="K872" s="15">
        <f t="shared" si="124"/>
        <v>390</v>
      </c>
      <c r="L872" s="15">
        <f t="shared" si="125"/>
        <v>45370</v>
      </c>
      <c r="M872" s="14"/>
      <c r="N872" s="14"/>
    </row>
    <row r="873" ht="14.25">
      <c r="A873" s="14">
        <v>871</v>
      </c>
      <c r="B873" s="14" t="str">
        <f t="shared" si="119"/>
        <v>Empl_871</v>
      </c>
      <c r="C873" s="14" t="s">
        <v>12</v>
      </c>
      <c r="D873" s="14">
        <v>45000</v>
      </c>
      <c r="E873" s="14">
        <f t="shared" ca="1" si="118"/>
        <v>30</v>
      </c>
      <c r="F873" s="14">
        <v>26</v>
      </c>
      <c r="G873" s="14">
        <f t="shared" si="120"/>
        <v>4</v>
      </c>
      <c r="H873" s="15">
        <f t="shared" si="121"/>
        <v>1730.7692307692307</v>
      </c>
      <c r="I873" s="15">
        <f t="shared" si="122"/>
        <v>45000</v>
      </c>
      <c r="J873" s="14">
        <f t="shared" si="123"/>
        <v>5400</v>
      </c>
      <c r="K873" s="15">
        <f t="shared" si="124"/>
        <v>337.5</v>
      </c>
      <c r="L873" s="15">
        <f t="shared" si="125"/>
        <v>39262.5</v>
      </c>
      <c r="M873" s="14"/>
      <c r="N873" s="14"/>
    </row>
    <row r="874" ht="14.25">
      <c r="A874" s="14">
        <v>872</v>
      </c>
      <c r="B874" s="14" t="str">
        <f t="shared" si="119"/>
        <v>Empl_872</v>
      </c>
      <c r="C874" s="14" t="s">
        <v>10</v>
      </c>
      <c r="D874" s="14">
        <v>24000</v>
      </c>
      <c r="E874" s="14">
        <f t="shared" ca="1" si="118"/>
        <v>30</v>
      </c>
      <c r="F874" s="14">
        <v>30</v>
      </c>
      <c r="G874" s="14">
        <f t="shared" si="120"/>
        <v>0</v>
      </c>
      <c r="H874" s="15">
        <f t="shared" si="121"/>
        <v>800</v>
      </c>
      <c r="I874" s="15">
        <f t="shared" si="122"/>
        <v>24000</v>
      </c>
      <c r="J874" s="14">
        <f t="shared" si="123"/>
        <v>2880</v>
      </c>
      <c r="K874" s="15">
        <f t="shared" si="124"/>
        <v>180</v>
      </c>
      <c r="L874" s="15">
        <f t="shared" si="125"/>
        <v>20940</v>
      </c>
      <c r="M874" s="14"/>
      <c r="N874" s="14"/>
    </row>
    <row r="875" ht="14.25">
      <c r="A875" s="14">
        <v>873</v>
      </c>
      <c r="B875" s="14" t="str">
        <f t="shared" si="119"/>
        <v>Empl_873</v>
      </c>
      <c r="C875" s="14" t="s">
        <v>13</v>
      </c>
      <c r="D875" s="14">
        <v>32000</v>
      </c>
      <c r="E875" s="14">
        <f t="shared" ca="1" si="118"/>
        <v>30</v>
      </c>
      <c r="F875" s="14">
        <v>27</v>
      </c>
      <c r="G875" s="14">
        <f t="shared" si="120"/>
        <v>3</v>
      </c>
      <c r="H875" s="15">
        <f t="shared" si="121"/>
        <v>1185.1851851851852</v>
      </c>
      <c r="I875" s="15">
        <f t="shared" si="122"/>
        <v>32000</v>
      </c>
      <c r="J875" s="14">
        <f t="shared" si="123"/>
        <v>3840</v>
      </c>
      <c r="K875" s="15">
        <f t="shared" si="124"/>
        <v>240</v>
      </c>
      <c r="L875" s="15">
        <f t="shared" si="125"/>
        <v>27920</v>
      </c>
      <c r="M875" s="14"/>
      <c r="N875" s="14"/>
    </row>
    <row r="876" ht="14.25">
      <c r="A876" s="14">
        <v>874</v>
      </c>
      <c r="B876" s="14" t="str">
        <f t="shared" si="119"/>
        <v>Empl_874</v>
      </c>
      <c r="C876" s="14" t="s">
        <v>9</v>
      </c>
      <c r="D876" s="14">
        <v>25000</v>
      </c>
      <c r="E876" s="14">
        <f t="shared" ca="1" si="118"/>
        <v>30</v>
      </c>
      <c r="F876" s="14">
        <v>28</v>
      </c>
      <c r="G876" s="14">
        <f t="shared" si="120"/>
        <v>2</v>
      </c>
      <c r="H876" s="15">
        <f t="shared" si="121"/>
        <v>892.85714285714289</v>
      </c>
      <c r="I876" s="15">
        <f t="shared" si="122"/>
        <v>25000</v>
      </c>
      <c r="J876" s="14">
        <f t="shared" si="123"/>
        <v>3000</v>
      </c>
      <c r="K876" s="15">
        <f t="shared" si="124"/>
        <v>187.5</v>
      </c>
      <c r="L876" s="15">
        <f t="shared" si="125"/>
        <v>21812.5</v>
      </c>
      <c r="M876" s="14"/>
      <c r="N876" s="14"/>
    </row>
    <row r="877" ht="14.25">
      <c r="A877" s="14">
        <v>875</v>
      </c>
      <c r="B877" s="14" t="str">
        <f t="shared" si="119"/>
        <v>Empl_875</v>
      </c>
      <c r="C877" s="14" t="s">
        <v>11</v>
      </c>
      <c r="D877" s="14">
        <v>48000</v>
      </c>
      <c r="E877" s="14">
        <f t="shared" ca="1" si="118"/>
        <v>30</v>
      </c>
      <c r="F877" s="14">
        <v>25</v>
      </c>
      <c r="G877" s="14">
        <f t="shared" si="120"/>
        <v>5</v>
      </c>
      <c r="H877" s="15">
        <f t="shared" si="121"/>
        <v>1920</v>
      </c>
      <c r="I877" s="15">
        <f t="shared" si="122"/>
        <v>48000</v>
      </c>
      <c r="J877" s="14">
        <f t="shared" si="123"/>
        <v>5760</v>
      </c>
      <c r="K877" s="15">
        <f t="shared" si="124"/>
        <v>360</v>
      </c>
      <c r="L877" s="15">
        <f t="shared" si="125"/>
        <v>41880</v>
      </c>
      <c r="M877" s="14"/>
      <c r="N877" s="14"/>
    </row>
    <row r="878" ht="14.25">
      <c r="A878" s="14">
        <v>876</v>
      </c>
      <c r="B878" s="14" t="str">
        <f t="shared" si="119"/>
        <v>Empl_876</v>
      </c>
      <c r="C878" s="14" t="s">
        <v>8</v>
      </c>
      <c r="D878" s="14">
        <v>23000</v>
      </c>
      <c r="E878" s="14">
        <f t="shared" ca="1" si="118"/>
        <v>30</v>
      </c>
      <c r="F878" s="14">
        <v>22</v>
      </c>
      <c r="G878" s="14">
        <f t="shared" si="120"/>
        <v>8</v>
      </c>
      <c r="H878" s="15">
        <f t="shared" si="121"/>
        <v>1045.4545454545455</v>
      </c>
      <c r="I878" s="15">
        <f t="shared" si="122"/>
        <v>23000</v>
      </c>
      <c r="J878" s="14">
        <f t="shared" si="123"/>
        <v>2760</v>
      </c>
      <c r="K878" s="15">
        <f t="shared" si="124"/>
        <v>172.5</v>
      </c>
      <c r="L878" s="15">
        <f t="shared" si="125"/>
        <v>20067.5</v>
      </c>
      <c r="M878" s="14"/>
      <c r="N878" s="14"/>
    </row>
    <row r="879" ht="14.25">
      <c r="A879" s="14">
        <v>877</v>
      </c>
      <c r="B879" s="14" t="str">
        <f t="shared" si="119"/>
        <v>Empl_877</v>
      </c>
      <c r="C879" s="14" t="s">
        <v>12</v>
      </c>
      <c r="D879" s="14">
        <v>57000</v>
      </c>
      <c r="E879" s="14">
        <f t="shared" ca="1" si="118"/>
        <v>30</v>
      </c>
      <c r="F879" s="14">
        <v>24</v>
      </c>
      <c r="G879" s="14">
        <f t="shared" si="120"/>
        <v>6</v>
      </c>
      <c r="H879" s="15">
        <f t="shared" si="121"/>
        <v>2375</v>
      </c>
      <c r="I879" s="15">
        <f t="shared" si="122"/>
        <v>57000</v>
      </c>
      <c r="J879" s="14">
        <f t="shared" si="123"/>
        <v>6840</v>
      </c>
      <c r="K879" s="15">
        <f t="shared" si="124"/>
        <v>427.5</v>
      </c>
      <c r="L879" s="15">
        <f t="shared" si="125"/>
        <v>49732.5</v>
      </c>
      <c r="M879" s="14"/>
      <c r="N879" s="14"/>
    </row>
    <row r="880" ht="14.25">
      <c r="A880" s="14">
        <v>878</v>
      </c>
      <c r="B880" s="14" t="str">
        <f t="shared" si="119"/>
        <v>Empl_878</v>
      </c>
      <c r="C880" s="14" t="s">
        <v>10</v>
      </c>
      <c r="D880" s="14">
        <v>21000</v>
      </c>
      <c r="E880" s="14">
        <f t="shared" ca="1" si="118"/>
        <v>30</v>
      </c>
      <c r="F880" s="14">
        <v>20</v>
      </c>
      <c r="G880" s="14">
        <f t="shared" si="120"/>
        <v>10</v>
      </c>
      <c r="H880" s="15">
        <f t="shared" si="121"/>
        <v>1050</v>
      </c>
      <c r="I880" s="15">
        <f t="shared" si="122"/>
        <v>21000</v>
      </c>
      <c r="J880" s="14">
        <f t="shared" si="123"/>
        <v>2520</v>
      </c>
      <c r="K880" s="15">
        <f t="shared" si="124"/>
        <v>157.5</v>
      </c>
      <c r="L880" s="15">
        <f t="shared" si="125"/>
        <v>18322.5</v>
      </c>
      <c r="M880" s="14"/>
      <c r="N880" s="14"/>
    </row>
    <row r="881" ht="14.25">
      <c r="A881" s="14">
        <v>879</v>
      </c>
      <c r="B881" s="14" t="str">
        <f t="shared" si="119"/>
        <v>Empl_879</v>
      </c>
      <c r="C881" s="14" t="s">
        <v>13</v>
      </c>
      <c r="D881" s="14">
        <v>47000</v>
      </c>
      <c r="E881" s="14">
        <f t="shared" ca="1" si="118"/>
        <v>30</v>
      </c>
      <c r="F881" s="14">
        <v>23</v>
      </c>
      <c r="G881" s="14">
        <f t="shared" si="120"/>
        <v>7</v>
      </c>
      <c r="H881" s="15">
        <f t="shared" si="121"/>
        <v>2043.4782608695652</v>
      </c>
      <c r="I881" s="15">
        <f t="shared" si="122"/>
        <v>47000</v>
      </c>
      <c r="J881" s="14">
        <f t="shared" si="123"/>
        <v>5640</v>
      </c>
      <c r="K881" s="15">
        <f t="shared" si="124"/>
        <v>352.5</v>
      </c>
      <c r="L881" s="15">
        <f t="shared" si="125"/>
        <v>41007.5</v>
      </c>
      <c r="M881" s="14"/>
      <c r="N881" s="14"/>
    </row>
    <row r="882" ht="14.25">
      <c r="A882" s="14">
        <v>880</v>
      </c>
      <c r="B882" s="14" t="str">
        <f t="shared" si="119"/>
        <v>Empl_880</v>
      </c>
      <c r="C882" s="14" t="s">
        <v>9</v>
      </c>
      <c r="D882" s="14">
        <v>60000</v>
      </c>
      <c r="E882" s="14">
        <f t="shared" ca="1" si="118"/>
        <v>30</v>
      </c>
      <c r="F882" s="14">
        <v>20</v>
      </c>
      <c r="G882" s="14">
        <f t="shared" si="120"/>
        <v>10</v>
      </c>
      <c r="H882" s="15">
        <f t="shared" si="121"/>
        <v>3000</v>
      </c>
      <c r="I882" s="15">
        <f t="shared" si="122"/>
        <v>60000</v>
      </c>
      <c r="J882" s="14">
        <f t="shared" si="123"/>
        <v>7200</v>
      </c>
      <c r="K882" s="15">
        <f t="shared" si="124"/>
        <v>450</v>
      </c>
      <c r="L882" s="15">
        <f t="shared" si="125"/>
        <v>52350</v>
      </c>
      <c r="M882" s="14"/>
      <c r="N882" s="14"/>
    </row>
    <row r="883" ht="14.25">
      <c r="A883" s="14">
        <v>881</v>
      </c>
      <c r="B883" s="14" t="str">
        <f t="shared" si="119"/>
        <v>Empl_881</v>
      </c>
      <c r="C883" s="14" t="s">
        <v>11</v>
      </c>
      <c r="D883" s="14">
        <v>15000</v>
      </c>
      <c r="E883" s="14">
        <f t="shared" ca="1" si="118"/>
        <v>30</v>
      </c>
      <c r="F883" s="14">
        <v>30</v>
      </c>
      <c r="G883" s="14">
        <f t="shared" si="120"/>
        <v>0</v>
      </c>
      <c r="H883" s="15">
        <f t="shared" si="121"/>
        <v>500</v>
      </c>
      <c r="I883" s="15">
        <f t="shared" si="122"/>
        <v>15000</v>
      </c>
      <c r="J883" s="14">
        <f t="shared" si="123"/>
        <v>1800</v>
      </c>
      <c r="K883" s="15">
        <f t="shared" si="124"/>
        <v>112.5</v>
      </c>
      <c r="L883" s="15">
        <f t="shared" si="125"/>
        <v>13087.5</v>
      </c>
      <c r="M883" s="14"/>
      <c r="N883" s="14"/>
    </row>
    <row r="884" ht="14.25">
      <c r="A884" s="14">
        <v>882</v>
      </c>
      <c r="B884" s="14" t="str">
        <f t="shared" si="119"/>
        <v>Empl_882</v>
      </c>
      <c r="C884" s="14" t="s">
        <v>8</v>
      </c>
      <c r="D884" s="14">
        <v>17000</v>
      </c>
      <c r="E884" s="14">
        <f t="shared" ca="1" si="118"/>
        <v>30</v>
      </c>
      <c r="F884" s="14">
        <v>22</v>
      </c>
      <c r="G884" s="14">
        <f t="shared" si="120"/>
        <v>8</v>
      </c>
      <c r="H884" s="15">
        <f t="shared" si="121"/>
        <v>772.72727272727275</v>
      </c>
      <c r="I884" s="15">
        <f t="shared" si="122"/>
        <v>17000</v>
      </c>
      <c r="J884" s="14">
        <f t="shared" si="123"/>
        <v>2040</v>
      </c>
      <c r="K884" s="15">
        <f t="shared" si="124"/>
        <v>127.5</v>
      </c>
      <c r="L884" s="15">
        <f t="shared" si="125"/>
        <v>14832.5</v>
      </c>
      <c r="M884" s="14"/>
      <c r="N884" s="14"/>
    </row>
    <row r="885" ht="14.25">
      <c r="A885" s="14">
        <v>883</v>
      </c>
      <c r="B885" s="14" t="str">
        <f t="shared" si="119"/>
        <v>Empl_883</v>
      </c>
      <c r="C885" s="14" t="s">
        <v>12</v>
      </c>
      <c r="D885" s="14">
        <v>53000</v>
      </c>
      <c r="E885" s="14">
        <f t="shared" ca="1" si="118"/>
        <v>30</v>
      </c>
      <c r="F885" s="14">
        <v>24</v>
      </c>
      <c r="G885" s="14">
        <f t="shared" si="120"/>
        <v>6</v>
      </c>
      <c r="H885" s="15">
        <f t="shared" si="121"/>
        <v>2208.3333333333335</v>
      </c>
      <c r="I885" s="15">
        <f t="shared" si="122"/>
        <v>53000</v>
      </c>
      <c r="J885" s="14">
        <f t="shared" si="123"/>
        <v>6360</v>
      </c>
      <c r="K885" s="15">
        <f t="shared" si="124"/>
        <v>397.5</v>
      </c>
      <c r="L885" s="15">
        <f t="shared" si="125"/>
        <v>46242.5</v>
      </c>
      <c r="M885" s="14"/>
      <c r="N885" s="14"/>
    </row>
    <row r="886" ht="14.25">
      <c r="A886" s="14">
        <v>884</v>
      </c>
      <c r="B886" s="14" t="str">
        <f t="shared" si="119"/>
        <v>Empl_884</v>
      </c>
      <c r="C886" s="14" t="s">
        <v>10</v>
      </c>
      <c r="D886" s="14">
        <v>30000</v>
      </c>
      <c r="E886" s="14">
        <f t="shared" ca="1" si="118"/>
        <v>30</v>
      </c>
      <c r="F886" s="14">
        <v>29</v>
      </c>
      <c r="G886" s="14">
        <f t="shared" si="120"/>
        <v>1</v>
      </c>
      <c r="H886" s="15">
        <f t="shared" si="121"/>
        <v>1034.4827586206898</v>
      </c>
      <c r="I886" s="15">
        <f t="shared" si="122"/>
        <v>30000.000000000004</v>
      </c>
      <c r="J886" s="14">
        <f t="shared" si="123"/>
        <v>3600.0000000000005</v>
      </c>
      <c r="K886" s="15">
        <f t="shared" si="124"/>
        <v>225.00000000000003</v>
      </c>
      <c r="L886" s="15">
        <f t="shared" si="125"/>
        <v>26175.000000000004</v>
      </c>
      <c r="M886" s="14"/>
      <c r="N886" s="14"/>
    </row>
    <row r="887" ht="14.25">
      <c r="A887" s="14">
        <v>885</v>
      </c>
      <c r="B887" s="14" t="str">
        <f t="shared" si="119"/>
        <v>Empl_885</v>
      </c>
      <c r="C887" s="14" t="s">
        <v>13</v>
      </c>
      <c r="D887" s="14">
        <v>44000</v>
      </c>
      <c r="E887" s="14">
        <f t="shared" ca="1" si="118"/>
        <v>30</v>
      </c>
      <c r="F887" s="14">
        <v>24</v>
      </c>
      <c r="G887" s="14">
        <f t="shared" si="120"/>
        <v>6</v>
      </c>
      <c r="H887" s="15">
        <f t="shared" si="121"/>
        <v>1833.3333333333333</v>
      </c>
      <c r="I887" s="15">
        <f t="shared" si="122"/>
        <v>44000</v>
      </c>
      <c r="J887" s="14">
        <f t="shared" si="123"/>
        <v>5280</v>
      </c>
      <c r="K887" s="15">
        <f t="shared" si="124"/>
        <v>330</v>
      </c>
      <c r="L887" s="15">
        <f t="shared" si="125"/>
        <v>38390</v>
      </c>
      <c r="M887" s="14"/>
      <c r="N887" s="14"/>
    </row>
    <row r="888" ht="14.25">
      <c r="A888" s="14">
        <v>886</v>
      </c>
      <c r="B888" s="14" t="str">
        <f t="shared" si="119"/>
        <v>Empl_886</v>
      </c>
      <c r="C888" s="14" t="s">
        <v>9</v>
      </c>
      <c r="D888" s="14">
        <v>51000</v>
      </c>
      <c r="E888" s="14">
        <f t="shared" ca="1" si="118"/>
        <v>30</v>
      </c>
      <c r="F888" s="14">
        <v>28</v>
      </c>
      <c r="G888" s="14">
        <f t="shared" si="120"/>
        <v>2</v>
      </c>
      <c r="H888" s="15">
        <f t="shared" si="121"/>
        <v>1821.4285714285713</v>
      </c>
      <c r="I888" s="15">
        <f t="shared" si="122"/>
        <v>51000</v>
      </c>
      <c r="J888" s="14">
        <f t="shared" si="123"/>
        <v>6120</v>
      </c>
      <c r="K888" s="15">
        <f t="shared" si="124"/>
        <v>382.5</v>
      </c>
      <c r="L888" s="15">
        <f t="shared" si="125"/>
        <v>44497.5</v>
      </c>
      <c r="M888" s="14"/>
      <c r="N888" s="14"/>
    </row>
    <row r="889" ht="14.25">
      <c r="A889" s="14">
        <v>887</v>
      </c>
      <c r="B889" s="14" t="str">
        <f t="shared" si="119"/>
        <v>Empl_887</v>
      </c>
      <c r="C889" s="14" t="s">
        <v>11</v>
      </c>
      <c r="D889" s="14">
        <v>30000</v>
      </c>
      <c r="E889" s="14">
        <f t="shared" ca="1" si="118"/>
        <v>30</v>
      </c>
      <c r="F889" s="14">
        <v>30</v>
      </c>
      <c r="G889" s="14">
        <f t="shared" si="120"/>
        <v>0</v>
      </c>
      <c r="H889" s="15">
        <f t="shared" si="121"/>
        <v>1000</v>
      </c>
      <c r="I889" s="15">
        <f t="shared" si="122"/>
        <v>30000</v>
      </c>
      <c r="J889" s="14">
        <f t="shared" si="123"/>
        <v>3600</v>
      </c>
      <c r="K889" s="15">
        <f t="shared" si="124"/>
        <v>225</v>
      </c>
      <c r="L889" s="15">
        <f t="shared" si="125"/>
        <v>26175</v>
      </c>
      <c r="M889" s="14"/>
      <c r="N889" s="14"/>
    </row>
    <row r="890" ht="14.25">
      <c r="A890" s="14">
        <v>888</v>
      </c>
      <c r="B890" s="14" t="str">
        <f t="shared" si="119"/>
        <v>Empl_888</v>
      </c>
      <c r="C890" s="14" t="s">
        <v>8</v>
      </c>
      <c r="D890" s="14">
        <v>49000</v>
      </c>
      <c r="E890" s="14">
        <f t="shared" ca="1" si="118"/>
        <v>30</v>
      </c>
      <c r="F890" s="14">
        <v>24</v>
      </c>
      <c r="G890" s="14">
        <f t="shared" si="120"/>
        <v>6</v>
      </c>
      <c r="H890" s="15">
        <f t="shared" si="121"/>
        <v>2041.6666666666667</v>
      </c>
      <c r="I890" s="15">
        <f t="shared" si="122"/>
        <v>49000</v>
      </c>
      <c r="J890" s="14">
        <f t="shared" si="123"/>
        <v>5880</v>
      </c>
      <c r="K890" s="15">
        <f t="shared" si="124"/>
        <v>367.5</v>
      </c>
      <c r="L890" s="15">
        <f t="shared" si="125"/>
        <v>42752.5</v>
      </c>
      <c r="M890" s="14"/>
      <c r="N890" s="14"/>
    </row>
    <row r="891" ht="14.25">
      <c r="A891" s="14">
        <v>889</v>
      </c>
      <c r="B891" s="14" t="str">
        <f t="shared" si="119"/>
        <v>Empl_889</v>
      </c>
      <c r="C891" s="14" t="s">
        <v>12</v>
      </c>
      <c r="D891" s="14">
        <v>21000</v>
      </c>
      <c r="E891" s="14">
        <f t="shared" ca="1" si="118"/>
        <v>30</v>
      </c>
      <c r="F891" s="14">
        <v>23</v>
      </c>
      <c r="G891" s="14">
        <f t="shared" si="120"/>
        <v>7</v>
      </c>
      <c r="H891" s="15">
        <f t="shared" si="121"/>
        <v>913.04347826086962</v>
      </c>
      <c r="I891" s="15">
        <f t="shared" si="122"/>
        <v>21000</v>
      </c>
      <c r="J891" s="14">
        <f t="shared" si="123"/>
        <v>2520</v>
      </c>
      <c r="K891" s="15">
        <f t="shared" si="124"/>
        <v>157.5</v>
      </c>
      <c r="L891" s="15">
        <f t="shared" si="125"/>
        <v>18322.5</v>
      </c>
      <c r="M891" s="14"/>
      <c r="N891" s="14"/>
    </row>
    <row r="892" ht="14.25">
      <c r="A892" s="14">
        <v>890</v>
      </c>
      <c r="B892" s="14" t="str">
        <f t="shared" si="119"/>
        <v>Empl_890</v>
      </c>
      <c r="C892" s="14" t="s">
        <v>10</v>
      </c>
      <c r="D892" s="14">
        <v>51000</v>
      </c>
      <c r="E892" s="14">
        <f t="shared" ca="1" si="118"/>
        <v>30</v>
      </c>
      <c r="F892" s="14">
        <v>25</v>
      </c>
      <c r="G892" s="14">
        <f t="shared" si="120"/>
        <v>5</v>
      </c>
      <c r="H892" s="15">
        <f t="shared" si="121"/>
        <v>2040</v>
      </c>
      <c r="I892" s="15">
        <f t="shared" si="122"/>
        <v>51000</v>
      </c>
      <c r="J892" s="14">
        <f t="shared" si="123"/>
        <v>6120</v>
      </c>
      <c r="K892" s="15">
        <f t="shared" si="124"/>
        <v>382.5</v>
      </c>
      <c r="L892" s="15">
        <f t="shared" si="125"/>
        <v>44497.5</v>
      </c>
      <c r="M892" s="14"/>
      <c r="N892" s="14"/>
    </row>
    <row r="893" ht="14.25">
      <c r="A893" s="14">
        <v>891</v>
      </c>
      <c r="B893" s="14" t="str">
        <f t="shared" si="119"/>
        <v>Empl_891</v>
      </c>
      <c r="C893" s="14" t="s">
        <v>13</v>
      </c>
      <c r="D893" s="14">
        <v>57000</v>
      </c>
      <c r="E893" s="14">
        <f t="shared" ca="1" si="118"/>
        <v>30</v>
      </c>
      <c r="F893" s="14">
        <v>23</v>
      </c>
      <c r="G893" s="14">
        <f t="shared" si="120"/>
        <v>7</v>
      </c>
      <c r="H893" s="15">
        <f t="shared" si="121"/>
        <v>2478.2608695652175</v>
      </c>
      <c r="I893" s="15">
        <f t="shared" si="122"/>
        <v>57000</v>
      </c>
      <c r="J893" s="14">
        <f t="shared" si="123"/>
        <v>6840</v>
      </c>
      <c r="K893" s="15">
        <f t="shared" si="124"/>
        <v>427.5</v>
      </c>
      <c r="L893" s="15">
        <f t="shared" si="125"/>
        <v>49732.5</v>
      </c>
      <c r="M893" s="14"/>
      <c r="N893" s="14"/>
    </row>
    <row r="894" ht="14.25">
      <c r="A894" s="14">
        <v>892</v>
      </c>
      <c r="B894" s="14" t="str">
        <f t="shared" si="119"/>
        <v>Empl_892</v>
      </c>
      <c r="C894" s="14" t="s">
        <v>9</v>
      </c>
      <c r="D894" s="14">
        <v>58000</v>
      </c>
      <c r="E894" s="14">
        <f t="shared" ca="1" si="118"/>
        <v>30</v>
      </c>
      <c r="F894" s="14">
        <v>26</v>
      </c>
      <c r="G894" s="14">
        <f t="shared" si="120"/>
        <v>4</v>
      </c>
      <c r="H894" s="15">
        <f t="shared" si="121"/>
        <v>2230.7692307692309</v>
      </c>
      <c r="I894" s="15">
        <f t="shared" si="122"/>
        <v>58000.000000000007</v>
      </c>
      <c r="J894" s="14">
        <f t="shared" si="123"/>
        <v>6960.0000000000009</v>
      </c>
      <c r="K894" s="15">
        <f t="shared" si="124"/>
        <v>435.00000000000006</v>
      </c>
      <c r="L894" s="15">
        <f t="shared" si="125"/>
        <v>50605.000000000007</v>
      </c>
      <c r="M894" s="14"/>
      <c r="N894" s="14"/>
    </row>
    <row r="895" ht="14.25">
      <c r="A895" s="14">
        <v>893</v>
      </c>
      <c r="B895" s="14" t="str">
        <f t="shared" si="119"/>
        <v>Empl_893</v>
      </c>
      <c r="C895" s="14" t="s">
        <v>11</v>
      </c>
      <c r="D895" s="14">
        <v>21000</v>
      </c>
      <c r="E895" s="14">
        <f t="shared" ca="1" si="118"/>
        <v>30</v>
      </c>
      <c r="F895" s="14">
        <v>28</v>
      </c>
      <c r="G895" s="14">
        <f t="shared" si="120"/>
        <v>2</v>
      </c>
      <c r="H895" s="15">
        <f t="shared" si="121"/>
        <v>750</v>
      </c>
      <c r="I895" s="15">
        <f t="shared" si="122"/>
        <v>21000</v>
      </c>
      <c r="J895" s="14">
        <f t="shared" si="123"/>
        <v>2520</v>
      </c>
      <c r="K895" s="15">
        <f t="shared" si="124"/>
        <v>157.5</v>
      </c>
      <c r="L895" s="15">
        <f t="shared" si="125"/>
        <v>18322.5</v>
      </c>
      <c r="M895" s="14"/>
      <c r="N895" s="14"/>
    </row>
    <row r="896" ht="14.25">
      <c r="A896" s="14">
        <v>894</v>
      </c>
      <c r="B896" s="14" t="str">
        <f t="shared" si="119"/>
        <v>Empl_894</v>
      </c>
      <c r="C896" s="14" t="s">
        <v>8</v>
      </c>
      <c r="D896" s="14">
        <v>52000</v>
      </c>
      <c r="E896" s="14">
        <f t="shared" ca="1" si="118"/>
        <v>30</v>
      </c>
      <c r="F896" s="14">
        <v>20</v>
      </c>
      <c r="G896" s="14">
        <f t="shared" si="120"/>
        <v>10</v>
      </c>
      <c r="H896" s="15">
        <f t="shared" si="121"/>
        <v>2600</v>
      </c>
      <c r="I896" s="15">
        <f t="shared" si="122"/>
        <v>52000</v>
      </c>
      <c r="J896" s="14">
        <f t="shared" si="123"/>
        <v>6240</v>
      </c>
      <c r="K896" s="15">
        <f t="shared" si="124"/>
        <v>390</v>
      </c>
      <c r="L896" s="15">
        <f t="shared" si="125"/>
        <v>45370</v>
      </c>
      <c r="M896" s="14"/>
      <c r="N896" s="14"/>
    </row>
    <row r="897" ht="14.25">
      <c r="A897" s="14">
        <v>895</v>
      </c>
      <c r="B897" s="14" t="str">
        <f t="shared" si="119"/>
        <v>Empl_895</v>
      </c>
      <c r="C897" s="14" t="s">
        <v>12</v>
      </c>
      <c r="D897" s="14">
        <v>49000</v>
      </c>
      <c r="E897" s="14">
        <f t="shared" ca="1" si="118"/>
        <v>30</v>
      </c>
      <c r="F897" s="14">
        <v>25</v>
      </c>
      <c r="G897" s="14">
        <f t="shared" si="120"/>
        <v>5</v>
      </c>
      <c r="H897" s="15">
        <f t="shared" si="121"/>
        <v>1960</v>
      </c>
      <c r="I897" s="15">
        <f t="shared" si="122"/>
        <v>49000</v>
      </c>
      <c r="J897" s="14">
        <f t="shared" si="123"/>
        <v>5880</v>
      </c>
      <c r="K897" s="15">
        <f t="shared" si="124"/>
        <v>367.5</v>
      </c>
      <c r="L897" s="15">
        <f t="shared" si="125"/>
        <v>42752.5</v>
      </c>
      <c r="M897" s="14"/>
      <c r="N897" s="14"/>
    </row>
    <row r="898" ht="14.25">
      <c r="A898" s="14">
        <v>896</v>
      </c>
      <c r="B898" s="14" t="str">
        <f t="shared" si="119"/>
        <v>Empl_896</v>
      </c>
      <c r="C898" s="14" t="s">
        <v>10</v>
      </c>
      <c r="D898" s="14">
        <v>46000</v>
      </c>
      <c r="E898" s="14">
        <f t="shared" ca="1" si="118"/>
        <v>30</v>
      </c>
      <c r="F898" s="14">
        <v>27</v>
      </c>
      <c r="G898" s="14">
        <f t="shared" si="120"/>
        <v>3</v>
      </c>
      <c r="H898" s="15">
        <f t="shared" si="121"/>
        <v>1703.7037037037037</v>
      </c>
      <c r="I898" s="15">
        <f t="shared" si="122"/>
        <v>46000</v>
      </c>
      <c r="J898" s="14">
        <f t="shared" si="123"/>
        <v>5520</v>
      </c>
      <c r="K898" s="15">
        <f t="shared" si="124"/>
        <v>345</v>
      </c>
      <c r="L898" s="15">
        <f t="shared" si="125"/>
        <v>40135</v>
      </c>
      <c r="M898" s="14"/>
      <c r="N898" s="14"/>
    </row>
    <row r="899" ht="14.25">
      <c r="A899" s="14">
        <v>897</v>
      </c>
      <c r="B899" s="14" t="str">
        <f t="shared" si="119"/>
        <v>Empl_897</v>
      </c>
      <c r="C899" s="14" t="s">
        <v>13</v>
      </c>
      <c r="D899" s="14">
        <v>15000</v>
      </c>
      <c r="E899" s="14">
        <f t="shared" ref="E899:E962" ca="1" si="126">DAY(EOMONTH(TODAY(),0))</f>
        <v>30</v>
      </c>
      <c r="F899" s="14">
        <v>28</v>
      </c>
      <c r="G899" s="14">
        <f t="shared" si="120"/>
        <v>2</v>
      </c>
      <c r="H899" s="15">
        <f t="shared" si="121"/>
        <v>535.71428571428567</v>
      </c>
      <c r="I899" s="15">
        <f t="shared" si="122"/>
        <v>14999.999999999998</v>
      </c>
      <c r="J899" s="14">
        <f t="shared" si="123"/>
        <v>1799.9999999999998</v>
      </c>
      <c r="K899" s="15">
        <f t="shared" si="124"/>
        <v>112.49999999999999</v>
      </c>
      <c r="L899" s="15">
        <f t="shared" si="125"/>
        <v>13087.499999999998</v>
      </c>
      <c r="M899" s="14"/>
      <c r="N899" s="14"/>
    </row>
    <row r="900" ht="14.25">
      <c r="A900" s="14">
        <v>898</v>
      </c>
      <c r="B900" s="14" t="str">
        <f t="shared" si="119"/>
        <v>Empl_898</v>
      </c>
      <c r="C900" s="14" t="s">
        <v>9</v>
      </c>
      <c r="D900" s="14">
        <v>24000</v>
      </c>
      <c r="E900" s="14">
        <f t="shared" ca="1" si="126"/>
        <v>30</v>
      </c>
      <c r="F900" s="14">
        <v>22</v>
      </c>
      <c r="G900" s="14">
        <f t="shared" si="120"/>
        <v>8</v>
      </c>
      <c r="H900" s="15">
        <f t="shared" si="121"/>
        <v>1090.909090909091</v>
      </c>
      <c r="I900" s="15">
        <f t="shared" si="122"/>
        <v>24000</v>
      </c>
      <c r="J900" s="14">
        <f t="shared" si="123"/>
        <v>2880</v>
      </c>
      <c r="K900" s="15">
        <f t="shared" si="124"/>
        <v>180</v>
      </c>
      <c r="L900" s="15">
        <f t="shared" si="125"/>
        <v>20940</v>
      </c>
      <c r="M900" s="14"/>
      <c r="N900" s="14"/>
    </row>
    <row r="901" ht="14.25">
      <c r="A901" s="14">
        <v>899</v>
      </c>
      <c r="B901" s="14" t="str">
        <f t="shared" si="119"/>
        <v>Empl_899</v>
      </c>
      <c r="C901" s="14" t="s">
        <v>11</v>
      </c>
      <c r="D901" s="14">
        <v>48000</v>
      </c>
      <c r="E901" s="14">
        <f t="shared" ca="1" si="126"/>
        <v>30</v>
      </c>
      <c r="F901" s="14">
        <v>22</v>
      </c>
      <c r="G901" s="14">
        <f t="shared" si="120"/>
        <v>8</v>
      </c>
      <c r="H901" s="15">
        <f t="shared" si="121"/>
        <v>2181.818181818182</v>
      </c>
      <c r="I901" s="15">
        <f t="shared" si="122"/>
        <v>48000</v>
      </c>
      <c r="J901" s="14">
        <f t="shared" si="123"/>
        <v>5760</v>
      </c>
      <c r="K901" s="15">
        <f t="shared" si="124"/>
        <v>360</v>
      </c>
      <c r="L901" s="15">
        <f t="shared" si="125"/>
        <v>41880</v>
      </c>
      <c r="M901" s="14"/>
      <c r="N901" s="14"/>
    </row>
    <row r="902" ht="14.25">
      <c r="A902" s="14">
        <v>900</v>
      </c>
      <c r="B902" s="14" t="str">
        <f t="shared" si="119"/>
        <v>Empl_900</v>
      </c>
      <c r="C902" s="14" t="s">
        <v>8</v>
      </c>
      <c r="D902" s="14">
        <v>57000</v>
      </c>
      <c r="E902" s="14">
        <f t="shared" ca="1" si="126"/>
        <v>30</v>
      </c>
      <c r="F902" s="14">
        <v>27</v>
      </c>
      <c r="G902" s="14">
        <f t="shared" si="120"/>
        <v>3</v>
      </c>
      <c r="H902" s="15">
        <f t="shared" si="121"/>
        <v>2111.1111111111113</v>
      </c>
      <c r="I902" s="15">
        <f t="shared" si="122"/>
        <v>57000.000000000007</v>
      </c>
      <c r="J902" s="14">
        <f t="shared" si="123"/>
        <v>6840.0000000000009</v>
      </c>
      <c r="K902" s="15">
        <f t="shared" si="124"/>
        <v>427.50000000000006</v>
      </c>
      <c r="L902" s="15">
        <f t="shared" si="125"/>
        <v>49732.500000000007</v>
      </c>
      <c r="M902" s="14"/>
      <c r="N902" s="14"/>
    </row>
    <row r="903" ht="14.25">
      <c r="A903" s="14">
        <v>901</v>
      </c>
      <c r="B903" s="14" t="str">
        <f t="shared" si="119"/>
        <v>Empl_901</v>
      </c>
      <c r="C903" s="14" t="s">
        <v>12</v>
      </c>
      <c r="D903" s="14">
        <v>50000</v>
      </c>
      <c r="E903" s="14">
        <f t="shared" ca="1" si="126"/>
        <v>30</v>
      </c>
      <c r="F903" s="14">
        <v>29</v>
      </c>
      <c r="G903" s="14">
        <f t="shared" si="120"/>
        <v>1</v>
      </c>
      <c r="H903" s="15">
        <f t="shared" si="121"/>
        <v>1724.1379310344828</v>
      </c>
      <c r="I903" s="15">
        <f t="shared" si="122"/>
        <v>50000</v>
      </c>
      <c r="J903" s="14">
        <f t="shared" si="123"/>
        <v>6000</v>
      </c>
      <c r="K903" s="15">
        <f t="shared" si="124"/>
        <v>375</v>
      </c>
      <c r="L903" s="15">
        <f t="shared" si="125"/>
        <v>43625</v>
      </c>
      <c r="M903" s="14"/>
      <c r="N903" s="14"/>
    </row>
    <row r="904" ht="14.25">
      <c r="A904" s="14">
        <v>902</v>
      </c>
      <c r="B904" s="14" t="str">
        <f t="shared" si="119"/>
        <v>Empl_902</v>
      </c>
      <c r="C904" s="14" t="s">
        <v>10</v>
      </c>
      <c r="D904" s="14">
        <v>34000</v>
      </c>
      <c r="E904" s="14">
        <f t="shared" ca="1" si="126"/>
        <v>30</v>
      </c>
      <c r="F904" s="14">
        <v>22</v>
      </c>
      <c r="G904" s="14">
        <f t="shared" si="120"/>
        <v>8</v>
      </c>
      <c r="H904" s="15">
        <f t="shared" si="121"/>
        <v>1545.4545454545455</v>
      </c>
      <c r="I904" s="15">
        <f t="shared" si="122"/>
        <v>34000</v>
      </c>
      <c r="J904" s="14">
        <f t="shared" si="123"/>
        <v>4080</v>
      </c>
      <c r="K904" s="15">
        <f t="shared" si="124"/>
        <v>255</v>
      </c>
      <c r="L904" s="15">
        <f t="shared" si="125"/>
        <v>29665</v>
      </c>
      <c r="M904" s="14"/>
      <c r="N904" s="14"/>
    </row>
    <row r="905" ht="14.25">
      <c r="A905" s="14">
        <v>903</v>
      </c>
      <c r="B905" s="14" t="str">
        <f t="shared" si="119"/>
        <v>Empl_903</v>
      </c>
      <c r="C905" s="14" t="s">
        <v>13</v>
      </c>
      <c r="D905" s="14">
        <v>26000</v>
      </c>
      <c r="E905" s="14">
        <f t="shared" ca="1" si="126"/>
        <v>30</v>
      </c>
      <c r="F905" s="14">
        <v>26</v>
      </c>
      <c r="G905" s="14">
        <f t="shared" si="120"/>
        <v>4</v>
      </c>
      <c r="H905" s="15">
        <f t="shared" si="121"/>
        <v>1000</v>
      </c>
      <c r="I905" s="15">
        <f t="shared" si="122"/>
        <v>26000</v>
      </c>
      <c r="J905" s="14">
        <f t="shared" si="123"/>
        <v>3120</v>
      </c>
      <c r="K905" s="15">
        <f t="shared" si="124"/>
        <v>195</v>
      </c>
      <c r="L905" s="15">
        <f t="shared" si="125"/>
        <v>22685</v>
      </c>
      <c r="M905" s="14"/>
      <c r="N905" s="14"/>
    </row>
    <row r="906" ht="14.25">
      <c r="A906" s="14">
        <v>904</v>
      </c>
      <c r="B906" s="14" t="str">
        <f t="shared" si="119"/>
        <v>Empl_904</v>
      </c>
      <c r="C906" s="14" t="s">
        <v>9</v>
      </c>
      <c r="D906" s="14">
        <v>23000</v>
      </c>
      <c r="E906" s="14">
        <f t="shared" ca="1" si="126"/>
        <v>30</v>
      </c>
      <c r="F906" s="14">
        <v>26</v>
      </c>
      <c r="G906" s="14">
        <f t="shared" si="120"/>
        <v>4</v>
      </c>
      <c r="H906" s="15">
        <f t="shared" si="121"/>
        <v>884.61538461538464</v>
      </c>
      <c r="I906" s="15">
        <f t="shared" si="122"/>
        <v>23000</v>
      </c>
      <c r="J906" s="14">
        <f t="shared" si="123"/>
        <v>2760</v>
      </c>
      <c r="K906" s="15">
        <f t="shared" si="124"/>
        <v>172.5</v>
      </c>
      <c r="L906" s="15">
        <f t="shared" si="125"/>
        <v>20067.5</v>
      </c>
      <c r="M906" s="14"/>
      <c r="N906" s="14"/>
    </row>
    <row r="907" ht="14.25">
      <c r="A907" s="14">
        <v>905</v>
      </c>
      <c r="B907" s="14" t="str">
        <f t="shared" si="119"/>
        <v>Empl_905</v>
      </c>
      <c r="C907" s="14" t="s">
        <v>11</v>
      </c>
      <c r="D907" s="14">
        <v>42000</v>
      </c>
      <c r="E907" s="14">
        <f t="shared" ca="1" si="126"/>
        <v>30</v>
      </c>
      <c r="F907" s="14">
        <v>25</v>
      </c>
      <c r="G907" s="14">
        <f t="shared" si="120"/>
        <v>5</v>
      </c>
      <c r="H907" s="15">
        <f t="shared" si="121"/>
        <v>1680</v>
      </c>
      <c r="I907" s="15">
        <f t="shared" si="122"/>
        <v>42000</v>
      </c>
      <c r="J907" s="14">
        <f t="shared" si="123"/>
        <v>5040</v>
      </c>
      <c r="K907" s="15">
        <f t="shared" si="124"/>
        <v>315</v>
      </c>
      <c r="L907" s="15">
        <f t="shared" si="125"/>
        <v>36645</v>
      </c>
      <c r="M907" s="14"/>
      <c r="N907" s="14"/>
    </row>
    <row r="908" ht="14.25">
      <c r="A908" s="14">
        <v>906</v>
      </c>
      <c r="B908" s="14" t="str">
        <f t="shared" si="119"/>
        <v>Empl_906</v>
      </c>
      <c r="C908" s="14" t="s">
        <v>8</v>
      </c>
      <c r="D908" s="14">
        <v>59000</v>
      </c>
      <c r="E908" s="14">
        <f t="shared" ca="1" si="126"/>
        <v>30</v>
      </c>
      <c r="F908" s="14">
        <v>30</v>
      </c>
      <c r="G908" s="14">
        <f t="shared" si="120"/>
        <v>0</v>
      </c>
      <c r="H908" s="15">
        <f t="shared" si="121"/>
        <v>1966.6666666666667</v>
      </c>
      <c r="I908" s="15">
        <f t="shared" si="122"/>
        <v>59000</v>
      </c>
      <c r="J908" s="14">
        <f t="shared" si="123"/>
        <v>7080</v>
      </c>
      <c r="K908" s="15">
        <f t="shared" si="124"/>
        <v>442.5</v>
      </c>
      <c r="L908" s="15">
        <f t="shared" si="125"/>
        <v>51477.5</v>
      </c>
      <c r="M908" s="14"/>
      <c r="N908" s="14"/>
    </row>
    <row r="909" ht="14.25">
      <c r="A909" s="14">
        <v>907</v>
      </c>
      <c r="B909" s="14" t="str">
        <f t="shared" si="119"/>
        <v>Empl_907</v>
      </c>
      <c r="C909" s="14" t="s">
        <v>12</v>
      </c>
      <c r="D909" s="14">
        <v>45000</v>
      </c>
      <c r="E909" s="14">
        <f t="shared" ca="1" si="126"/>
        <v>30</v>
      </c>
      <c r="F909" s="14">
        <v>27</v>
      </c>
      <c r="G909" s="14">
        <f t="shared" si="120"/>
        <v>3</v>
      </c>
      <c r="H909" s="15">
        <f t="shared" si="121"/>
        <v>1666.6666666666667</v>
      </c>
      <c r="I909" s="15">
        <f t="shared" si="122"/>
        <v>45000</v>
      </c>
      <c r="J909" s="14">
        <f t="shared" si="123"/>
        <v>5400</v>
      </c>
      <c r="K909" s="15">
        <f t="shared" si="124"/>
        <v>337.5</v>
      </c>
      <c r="L909" s="15">
        <f t="shared" si="125"/>
        <v>39262.5</v>
      </c>
      <c r="M909" s="14"/>
      <c r="N909" s="14"/>
    </row>
    <row r="910" ht="14.25">
      <c r="A910" s="14">
        <v>908</v>
      </c>
      <c r="B910" s="14" t="str">
        <f t="shared" si="119"/>
        <v>Empl_908</v>
      </c>
      <c r="C910" s="14" t="s">
        <v>10</v>
      </c>
      <c r="D910" s="14">
        <v>25000</v>
      </c>
      <c r="E910" s="14">
        <f t="shared" ca="1" si="126"/>
        <v>30</v>
      </c>
      <c r="F910" s="14">
        <v>21</v>
      </c>
      <c r="G910" s="14">
        <f t="shared" si="120"/>
        <v>9</v>
      </c>
      <c r="H910" s="15">
        <f t="shared" si="121"/>
        <v>1190.4761904761904</v>
      </c>
      <c r="I910" s="15">
        <f t="shared" si="122"/>
        <v>24999.999999999996</v>
      </c>
      <c r="J910" s="14">
        <f t="shared" si="123"/>
        <v>2999.9999999999995</v>
      </c>
      <c r="K910" s="15">
        <f t="shared" si="124"/>
        <v>187.49999999999997</v>
      </c>
      <c r="L910" s="15">
        <f t="shared" si="125"/>
        <v>21812.499999999996</v>
      </c>
      <c r="M910" s="14"/>
      <c r="N910" s="14"/>
    </row>
    <row r="911" ht="14.25">
      <c r="A911" s="14">
        <v>909</v>
      </c>
      <c r="B911" s="14" t="str">
        <f t="shared" si="119"/>
        <v>Empl_909</v>
      </c>
      <c r="C911" s="14" t="s">
        <v>13</v>
      </c>
      <c r="D911" s="14">
        <v>36000</v>
      </c>
      <c r="E911" s="14">
        <f t="shared" ca="1" si="126"/>
        <v>30</v>
      </c>
      <c r="F911" s="14">
        <v>26</v>
      </c>
      <c r="G911" s="14">
        <f t="shared" si="120"/>
        <v>4</v>
      </c>
      <c r="H911" s="15">
        <f t="shared" si="121"/>
        <v>1384.6153846153845</v>
      </c>
      <c r="I911" s="15">
        <f t="shared" si="122"/>
        <v>36000</v>
      </c>
      <c r="J911" s="14">
        <f t="shared" si="123"/>
        <v>4320</v>
      </c>
      <c r="K911" s="15">
        <f t="shared" si="124"/>
        <v>270</v>
      </c>
      <c r="L911" s="15">
        <f t="shared" si="125"/>
        <v>31410</v>
      </c>
      <c r="M911" s="14"/>
      <c r="N911" s="14"/>
    </row>
    <row r="912" ht="14.25">
      <c r="A912" s="14">
        <v>910</v>
      </c>
      <c r="B912" s="14" t="str">
        <f t="shared" si="119"/>
        <v>Empl_910</v>
      </c>
      <c r="C912" s="14" t="s">
        <v>9</v>
      </c>
      <c r="D912" s="14">
        <v>49000</v>
      </c>
      <c r="E912" s="14">
        <f t="shared" ca="1" si="126"/>
        <v>30</v>
      </c>
      <c r="F912" s="14">
        <v>22</v>
      </c>
      <c r="G912" s="14">
        <f t="shared" si="120"/>
        <v>8</v>
      </c>
      <c r="H912" s="15">
        <f t="shared" si="121"/>
        <v>2227.2727272727275</v>
      </c>
      <c r="I912" s="15">
        <f t="shared" si="122"/>
        <v>49000.000000000007</v>
      </c>
      <c r="J912" s="14">
        <f t="shared" si="123"/>
        <v>5880.0000000000009</v>
      </c>
      <c r="K912" s="15">
        <f t="shared" si="124"/>
        <v>367.50000000000006</v>
      </c>
      <c r="L912" s="15">
        <f t="shared" si="125"/>
        <v>42752.500000000007</v>
      </c>
      <c r="M912" s="14"/>
      <c r="N912" s="14"/>
    </row>
    <row r="913" ht="14.25">
      <c r="A913" s="14">
        <v>911</v>
      </c>
      <c r="B913" s="14" t="str">
        <f t="shared" si="119"/>
        <v>Empl_911</v>
      </c>
      <c r="C913" s="14" t="s">
        <v>11</v>
      </c>
      <c r="D913" s="14">
        <v>56000</v>
      </c>
      <c r="E913" s="14">
        <f t="shared" ca="1" si="126"/>
        <v>30</v>
      </c>
      <c r="F913" s="14">
        <v>21</v>
      </c>
      <c r="G913" s="14">
        <f t="shared" si="120"/>
        <v>9</v>
      </c>
      <c r="H913" s="15">
        <f t="shared" si="121"/>
        <v>2666.6666666666665</v>
      </c>
      <c r="I913" s="15">
        <f t="shared" si="122"/>
        <v>56000</v>
      </c>
      <c r="J913" s="14">
        <f t="shared" si="123"/>
        <v>6720</v>
      </c>
      <c r="K913" s="15">
        <f t="shared" si="124"/>
        <v>420</v>
      </c>
      <c r="L913" s="15">
        <f t="shared" si="125"/>
        <v>48860</v>
      </c>
      <c r="M913" s="14"/>
      <c r="N913" s="14"/>
    </row>
    <row r="914" ht="14.25">
      <c r="A914" s="14">
        <v>912</v>
      </c>
      <c r="B914" s="14" t="str">
        <f t="shared" si="119"/>
        <v>Empl_912</v>
      </c>
      <c r="C914" s="14" t="s">
        <v>8</v>
      </c>
      <c r="D914" s="14">
        <v>38000</v>
      </c>
      <c r="E914" s="14">
        <f t="shared" ca="1" si="126"/>
        <v>30</v>
      </c>
      <c r="F914" s="14">
        <v>25</v>
      </c>
      <c r="G914" s="14">
        <f t="shared" si="120"/>
        <v>5</v>
      </c>
      <c r="H914" s="15">
        <f t="shared" si="121"/>
        <v>1520</v>
      </c>
      <c r="I914" s="15">
        <f t="shared" si="122"/>
        <v>38000</v>
      </c>
      <c r="J914" s="14">
        <f t="shared" si="123"/>
        <v>4560</v>
      </c>
      <c r="K914" s="15">
        <f t="shared" si="124"/>
        <v>285</v>
      </c>
      <c r="L914" s="15">
        <f t="shared" si="125"/>
        <v>33155</v>
      </c>
      <c r="M914" s="14"/>
      <c r="N914" s="14"/>
    </row>
    <row r="915" ht="14.25">
      <c r="A915" s="14">
        <v>913</v>
      </c>
      <c r="B915" s="14" t="str">
        <f t="shared" si="119"/>
        <v>Empl_913</v>
      </c>
      <c r="C915" s="14" t="s">
        <v>12</v>
      </c>
      <c r="D915" s="14">
        <v>59000</v>
      </c>
      <c r="E915" s="14">
        <f t="shared" ca="1" si="126"/>
        <v>30</v>
      </c>
      <c r="F915" s="14">
        <v>24</v>
      </c>
      <c r="G915" s="14">
        <f t="shared" si="120"/>
        <v>6</v>
      </c>
      <c r="H915" s="15">
        <f t="shared" si="121"/>
        <v>2458.3333333333335</v>
      </c>
      <c r="I915" s="15">
        <f t="shared" si="122"/>
        <v>59000</v>
      </c>
      <c r="J915" s="14">
        <f t="shared" si="123"/>
        <v>7080</v>
      </c>
      <c r="K915" s="15">
        <f t="shared" si="124"/>
        <v>442.5</v>
      </c>
      <c r="L915" s="15">
        <f t="shared" si="125"/>
        <v>51477.5</v>
      </c>
      <c r="M915" s="14"/>
      <c r="N915" s="14"/>
    </row>
    <row r="916" ht="14.25">
      <c r="A916" s="14">
        <v>914</v>
      </c>
      <c r="B916" s="14" t="str">
        <f t="shared" si="119"/>
        <v>Empl_914</v>
      </c>
      <c r="C916" s="14" t="s">
        <v>10</v>
      </c>
      <c r="D916" s="14">
        <v>35000</v>
      </c>
      <c r="E916" s="14">
        <f t="shared" ca="1" si="126"/>
        <v>30</v>
      </c>
      <c r="F916" s="14">
        <v>30</v>
      </c>
      <c r="G916" s="14">
        <f t="shared" si="120"/>
        <v>0</v>
      </c>
      <c r="H916" s="15">
        <f t="shared" si="121"/>
        <v>1166.6666666666667</v>
      </c>
      <c r="I916" s="15">
        <f t="shared" si="122"/>
        <v>35000</v>
      </c>
      <c r="J916" s="14">
        <f t="shared" si="123"/>
        <v>4200</v>
      </c>
      <c r="K916" s="15">
        <f t="shared" si="124"/>
        <v>262.5</v>
      </c>
      <c r="L916" s="15">
        <f t="shared" si="125"/>
        <v>30537.5</v>
      </c>
      <c r="M916" s="14"/>
      <c r="N916" s="14"/>
    </row>
    <row r="917" ht="14.25">
      <c r="A917" s="14">
        <v>915</v>
      </c>
      <c r="B917" s="14" t="str">
        <f t="shared" si="119"/>
        <v>Empl_915</v>
      </c>
      <c r="C917" s="14" t="s">
        <v>13</v>
      </c>
      <c r="D917" s="14">
        <v>29000</v>
      </c>
      <c r="E917" s="14">
        <f t="shared" ca="1" si="126"/>
        <v>30</v>
      </c>
      <c r="F917" s="14">
        <v>21</v>
      </c>
      <c r="G917" s="14">
        <f t="shared" si="120"/>
        <v>9</v>
      </c>
      <c r="H917" s="15">
        <f t="shared" si="121"/>
        <v>1380.952380952381</v>
      </c>
      <c r="I917" s="15">
        <f t="shared" si="122"/>
        <v>29000</v>
      </c>
      <c r="J917" s="14">
        <f t="shared" si="123"/>
        <v>3480</v>
      </c>
      <c r="K917" s="15">
        <f t="shared" si="124"/>
        <v>217.5</v>
      </c>
      <c r="L917" s="15">
        <f t="shared" si="125"/>
        <v>25302.5</v>
      </c>
      <c r="M917" s="14"/>
      <c r="N917" s="14"/>
    </row>
    <row r="918" ht="14.25">
      <c r="A918" s="14">
        <v>916</v>
      </c>
      <c r="B918" s="14" t="str">
        <f t="shared" si="119"/>
        <v>Empl_916</v>
      </c>
      <c r="C918" s="14" t="s">
        <v>9</v>
      </c>
      <c r="D918" s="14">
        <v>15000</v>
      </c>
      <c r="E918" s="14">
        <f t="shared" ca="1" si="126"/>
        <v>30</v>
      </c>
      <c r="F918" s="14">
        <v>20</v>
      </c>
      <c r="G918" s="14">
        <f t="shared" si="120"/>
        <v>10</v>
      </c>
      <c r="H918" s="15">
        <f t="shared" si="121"/>
        <v>750</v>
      </c>
      <c r="I918" s="15">
        <f t="shared" si="122"/>
        <v>15000</v>
      </c>
      <c r="J918" s="14">
        <f t="shared" si="123"/>
        <v>1800</v>
      </c>
      <c r="K918" s="15">
        <f t="shared" si="124"/>
        <v>112.5</v>
      </c>
      <c r="L918" s="15">
        <f t="shared" si="125"/>
        <v>13087.5</v>
      </c>
      <c r="M918" s="14"/>
      <c r="N918" s="14"/>
    </row>
    <row r="919" ht="14.25">
      <c r="A919" s="14">
        <v>917</v>
      </c>
      <c r="B919" s="14" t="str">
        <f t="shared" si="119"/>
        <v>Empl_917</v>
      </c>
      <c r="C919" s="14" t="s">
        <v>11</v>
      </c>
      <c r="D919" s="14">
        <v>38000</v>
      </c>
      <c r="E919" s="14">
        <f t="shared" ca="1" si="126"/>
        <v>30</v>
      </c>
      <c r="F919" s="14">
        <v>21</v>
      </c>
      <c r="G919" s="14">
        <f t="shared" si="120"/>
        <v>9</v>
      </c>
      <c r="H919" s="15">
        <f t="shared" si="121"/>
        <v>1809.5238095238096</v>
      </c>
      <c r="I919" s="15">
        <f t="shared" si="122"/>
        <v>38000</v>
      </c>
      <c r="J919" s="14">
        <f t="shared" si="123"/>
        <v>4560</v>
      </c>
      <c r="K919" s="15">
        <f t="shared" si="124"/>
        <v>285</v>
      </c>
      <c r="L919" s="15">
        <f t="shared" si="125"/>
        <v>33155</v>
      </c>
      <c r="M919" s="14"/>
      <c r="N919" s="14"/>
    </row>
    <row r="920" ht="14.25">
      <c r="A920" s="14">
        <v>918</v>
      </c>
      <c r="B920" s="14" t="str">
        <f t="shared" si="119"/>
        <v>Empl_918</v>
      </c>
      <c r="C920" s="14" t="s">
        <v>8</v>
      </c>
      <c r="D920" s="14">
        <v>29000</v>
      </c>
      <c r="E920" s="14">
        <f t="shared" ca="1" si="126"/>
        <v>30</v>
      </c>
      <c r="F920" s="14">
        <v>29</v>
      </c>
      <c r="G920" s="14">
        <f t="shared" si="120"/>
        <v>1</v>
      </c>
      <c r="H920" s="15">
        <f t="shared" si="121"/>
        <v>1000</v>
      </c>
      <c r="I920" s="15">
        <f t="shared" si="122"/>
        <v>29000</v>
      </c>
      <c r="J920" s="14">
        <f t="shared" si="123"/>
        <v>3480</v>
      </c>
      <c r="K920" s="15">
        <f t="shared" si="124"/>
        <v>217.5</v>
      </c>
      <c r="L920" s="15">
        <f t="shared" si="125"/>
        <v>25302.5</v>
      </c>
      <c r="M920" s="14"/>
      <c r="N920" s="14"/>
    </row>
    <row r="921" ht="14.25">
      <c r="A921" s="14">
        <v>919</v>
      </c>
      <c r="B921" s="14" t="str">
        <f t="shared" si="119"/>
        <v>Empl_919</v>
      </c>
      <c r="C921" s="14" t="s">
        <v>12</v>
      </c>
      <c r="D921" s="14">
        <v>27000</v>
      </c>
      <c r="E921" s="14">
        <f t="shared" ca="1" si="126"/>
        <v>30</v>
      </c>
      <c r="F921" s="14">
        <v>21</v>
      </c>
      <c r="G921" s="14">
        <f t="shared" si="120"/>
        <v>9</v>
      </c>
      <c r="H921" s="15">
        <f t="shared" si="121"/>
        <v>1285.7142857142858</v>
      </c>
      <c r="I921" s="15">
        <f t="shared" si="122"/>
        <v>27000</v>
      </c>
      <c r="J921" s="14">
        <f t="shared" si="123"/>
        <v>3240</v>
      </c>
      <c r="K921" s="15">
        <f t="shared" si="124"/>
        <v>202.5</v>
      </c>
      <c r="L921" s="15">
        <f t="shared" si="125"/>
        <v>23557.5</v>
      </c>
      <c r="M921" s="14"/>
      <c r="N921" s="14"/>
    </row>
    <row r="922" ht="14.25">
      <c r="A922" s="14">
        <v>920</v>
      </c>
      <c r="B922" s="14" t="str">
        <f t="shared" si="119"/>
        <v>Empl_920</v>
      </c>
      <c r="C922" s="14" t="s">
        <v>10</v>
      </c>
      <c r="D922" s="14">
        <v>26000</v>
      </c>
      <c r="E922" s="14">
        <f t="shared" ca="1" si="126"/>
        <v>30</v>
      </c>
      <c r="F922" s="14">
        <v>21</v>
      </c>
      <c r="G922" s="14">
        <f t="shared" si="120"/>
        <v>9</v>
      </c>
      <c r="H922" s="15">
        <f t="shared" si="121"/>
        <v>1238.0952380952381</v>
      </c>
      <c r="I922" s="15">
        <f t="shared" si="122"/>
        <v>26000</v>
      </c>
      <c r="J922" s="14">
        <f t="shared" si="123"/>
        <v>3120</v>
      </c>
      <c r="K922" s="15">
        <f t="shared" si="124"/>
        <v>195</v>
      </c>
      <c r="L922" s="15">
        <f t="shared" si="125"/>
        <v>22685</v>
      </c>
      <c r="M922" s="14"/>
      <c r="N922" s="14"/>
    </row>
    <row r="923" ht="14.25">
      <c r="A923" s="14">
        <v>921</v>
      </c>
      <c r="B923" s="14" t="str">
        <f t="shared" si="119"/>
        <v>Empl_921</v>
      </c>
      <c r="C923" s="14" t="s">
        <v>13</v>
      </c>
      <c r="D923" s="14">
        <v>21000</v>
      </c>
      <c r="E923" s="14">
        <f t="shared" ca="1" si="126"/>
        <v>30</v>
      </c>
      <c r="F923" s="14">
        <v>22</v>
      </c>
      <c r="G923" s="14">
        <f t="shared" si="120"/>
        <v>8</v>
      </c>
      <c r="H923" s="15">
        <f t="shared" si="121"/>
        <v>954.5454545454545</v>
      </c>
      <c r="I923" s="15">
        <f t="shared" si="122"/>
        <v>21000</v>
      </c>
      <c r="J923" s="14">
        <f t="shared" si="123"/>
        <v>2520</v>
      </c>
      <c r="K923" s="15">
        <f t="shared" si="124"/>
        <v>157.5</v>
      </c>
      <c r="L923" s="15">
        <f t="shared" si="125"/>
        <v>18322.5</v>
      </c>
      <c r="M923" s="14"/>
      <c r="N923" s="14"/>
    </row>
    <row r="924" ht="14.25">
      <c r="A924" s="14">
        <v>922</v>
      </c>
      <c r="B924" s="14" t="str">
        <f t="shared" si="119"/>
        <v>Empl_922</v>
      </c>
      <c r="C924" s="14" t="s">
        <v>9</v>
      </c>
      <c r="D924" s="14">
        <v>36000</v>
      </c>
      <c r="E924" s="14">
        <f t="shared" ca="1" si="126"/>
        <v>30</v>
      </c>
      <c r="F924" s="14">
        <v>24</v>
      </c>
      <c r="G924" s="14">
        <f t="shared" si="120"/>
        <v>6</v>
      </c>
      <c r="H924" s="15">
        <f t="shared" si="121"/>
        <v>1500</v>
      </c>
      <c r="I924" s="15">
        <f t="shared" si="122"/>
        <v>36000</v>
      </c>
      <c r="J924" s="14">
        <f t="shared" si="123"/>
        <v>4320</v>
      </c>
      <c r="K924" s="15">
        <f t="shared" si="124"/>
        <v>270</v>
      </c>
      <c r="L924" s="15">
        <f t="shared" si="125"/>
        <v>31410</v>
      </c>
      <c r="M924" s="14"/>
      <c r="N924" s="14"/>
    </row>
    <row r="925" ht="14.25">
      <c r="A925" s="14">
        <v>923</v>
      </c>
      <c r="B925" s="14" t="str">
        <f t="shared" si="119"/>
        <v>Empl_923</v>
      </c>
      <c r="C925" s="14" t="s">
        <v>11</v>
      </c>
      <c r="D925" s="14">
        <v>44000</v>
      </c>
      <c r="E925" s="14">
        <f t="shared" ca="1" si="126"/>
        <v>30</v>
      </c>
      <c r="F925" s="14">
        <v>20</v>
      </c>
      <c r="G925" s="14">
        <f t="shared" si="120"/>
        <v>10</v>
      </c>
      <c r="H925" s="15">
        <f t="shared" si="121"/>
        <v>2200</v>
      </c>
      <c r="I925" s="15">
        <f t="shared" si="122"/>
        <v>44000</v>
      </c>
      <c r="J925" s="14">
        <f t="shared" si="123"/>
        <v>5280</v>
      </c>
      <c r="K925" s="15">
        <f t="shared" si="124"/>
        <v>330</v>
      </c>
      <c r="L925" s="15">
        <f t="shared" si="125"/>
        <v>38390</v>
      </c>
      <c r="M925" s="14"/>
      <c r="N925" s="14"/>
    </row>
    <row r="926" ht="14.25">
      <c r="A926" s="14">
        <v>924</v>
      </c>
      <c r="B926" s="14" t="str">
        <f t="shared" si="119"/>
        <v>Empl_924</v>
      </c>
      <c r="C926" s="14" t="s">
        <v>8</v>
      </c>
      <c r="D926" s="14">
        <v>18000</v>
      </c>
      <c r="E926" s="14">
        <f t="shared" ca="1" si="126"/>
        <v>30</v>
      </c>
      <c r="F926" s="14">
        <v>24</v>
      </c>
      <c r="G926" s="14">
        <f t="shared" si="120"/>
        <v>6</v>
      </c>
      <c r="H926" s="15">
        <f t="shared" si="121"/>
        <v>750</v>
      </c>
      <c r="I926" s="15">
        <f t="shared" si="122"/>
        <v>18000</v>
      </c>
      <c r="J926" s="14">
        <f t="shared" si="123"/>
        <v>2160</v>
      </c>
      <c r="K926" s="15">
        <f t="shared" si="124"/>
        <v>135</v>
      </c>
      <c r="L926" s="15">
        <f t="shared" si="125"/>
        <v>15705</v>
      </c>
      <c r="M926" s="14"/>
      <c r="N926" s="14"/>
    </row>
    <row r="927" ht="14.25">
      <c r="A927" s="14">
        <v>925</v>
      </c>
      <c r="B927" s="14" t="str">
        <f t="shared" si="119"/>
        <v>Empl_925</v>
      </c>
      <c r="C927" s="14" t="s">
        <v>12</v>
      </c>
      <c r="D927" s="14">
        <v>44000</v>
      </c>
      <c r="E927" s="14">
        <f t="shared" ca="1" si="126"/>
        <v>30</v>
      </c>
      <c r="F927" s="14">
        <v>27</v>
      </c>
      <c r="G927" s="14">
        <f t="shared" si="120"/>
        <v>3</v>
      </c>
      <c r="H927" s="15">
        <f t="shared" si="121"/>
        <v>1629.6296296296296</v>
      </c>
      <c r="I927" s="15">
        <f t="shared" si="122"/>
        <v>44000</v>
      </c>
      <c r="J927" s="14">
        <f t="shared" si="123"/>
        <v>5280</v>
      </c>
      <c r="K927" s="15">
        <f t="shared" si="124"/>
        <v>330</v>
      </c>
      <c r="L927" s="15">
        <f t="shared" si="125"/>
        <v>38390</v>
      </c>
      <c r="M927" s="14"/>
      <c r="N927" s="14"/>
    </row>
    <row r="928" ht="14.25">
      <c r="A928" s="14">
        <v>926</v>
      </c>
      <c r="B928" s="14" t="str">
        <f t="shared" si="119"/>
        <v>Empl_926</v>
      </c>
      <c r="C928" s="14" t="s">
        <v>10</v>
      </c>
      <c r="D928" s="14">
        <v>21000</v>
      </c>
      <c r="E928" s="14">
        <f t="shared" ca="1" si="126"/>
        <v>30</v>
      </c>
      <c r="F928" s="14">
        <v>24</v>
      </c>
      <c r="G928" s="14">
        <f t="shared" si="120"/>
        <v>6</v>
      </c>
      <c r="H928" s="15">
        <f t="shared" si="121"/>
        <v>875</v>
      </c>
      <c r="I928" s="15">
        <f t="shared" si="122"/>
        <v>21000</v>
      </c>
      <c r="J928" s="14">
        <f t="shared" si="123"/>
        <v>2520</v>
      </c>
      <c r="K928" s="15">
        <f t="shared" si="124"/>
        <v>157.5</v>
      </c>
      <c r="L928" s="15">
        <f t="shared" si="125"/>
        <v>18322.5</v>
      </c>
      <c r="M928" s="14"/>
      <c r="N928" s="14"/>
    </row>
    <row r="929" ht="14.25">
      <c r="A929" s="14">
        <v>927</v>
      </c>
      <c r="B929" s="14" t="str">
        <f t="shared" si="119"/>
        <v>Empl_927</v>
      </c>
      <c r="C929" s="14" t="s">
        <v>13</v>
      </c>
      <c r="D929" s="14">
        <v>17000</v>
      </c>
      <c r="E929" s="14">
        <f t="shared" ca="1" si="126"/>
        <v>30</v>
      </c>
      <c r="F929" s="14">
        <v>21</v>
      </c>
      <c r="G929" s="14">
        <f t="shared" si="120"/>
        <v>9</v>
      </c>
      <c r="H929" s="15">
        <f t="shared" si="121"/>
        <v>809.52380952380952</v>
      </c>
      <c r="I929" s="15">
        <f t="shared" si="122"/>
        <v>17000</v>
      </c>
      <c r="J929" s="14">
        <f t="shared" si="123"/>
        <v>2040</v>
      </c>
      <c r="K929" s="15">
        <f t="shared" si="124"/>
        <v>127.5</v>
      </c>
      <c r="L929" s="15">
        <f t="shared" si="125"/>
        <v>14832.5</v>
      </c>
      <c r="M929" s="14"/>
      <c r="N929" s="14"/>
    </row>
    <row r="930" ht="14.25">
      <c r="A930" s="14">
        <v>928</v>
      </c>
      <c r="B930" s="14" t="str">
        <f t="shared" si="119"/>
        <v>Empl_928</v>
      </c>
      <c r="C930" s="14" t="s">
        <v>9</v>
      </c>
      <c r="D930" s="14">
        <v>22000</v>
      </c>
      <c r="E930" s="14">
        <f t="shared" ca="1" si="126"/>
        <v>30</v>
      </c>
      <c r="F930" s="14">
        <v>26</v>
      </c>
      <c r="G930" s="14">
        <f t="shared" si="120"/>
        <v>4</v>
      </c>
      <c r="H930" s="15">
        <f t="shared" si="121"/>
        <v>846.15384615384619</v>
      </c>
      <c r="I930" s="15">
        <f t="shared" si="122"/>
        <v>22000</v>
      </c>
      <c r="J930" s="14">
        <f t="shared" si="123"/>
        <v>2640</v>
      </c>
      <c r="K930" s="15">
        <f t="shared" si="124"/>
        <v>165</v>
      </c>
      <c r="L930" s="15">
        <f t="shared" si="125"/>
        <v>19195</v>
      </c>
      <c r="M930" s="14"/>
      <c r="N930" s="14"/>
    </row>
    <row r="931" ht="14.25">
      <c r="A931" s="14">
        <v>929</v>
      </c>
      <c r="B931" s="14" t="str">
        <f t="shared" si="119"/>
        <v>Empl_929</v>
      </c>
      <c r="C931" s="14" t="s">
        <v>11</v>
      </c>
      <c r="D931" s="14">
        <v>49000</v>
      </c>
      <c r="E931" s="14">
        <f t="shared" ca="1" si="126"/>
        <v>30</v>
      </c>
      <c r="F931" s="14">
        <v>26</v>
      </c>
      <c r="G931" s="14">
        <f t="shared" si="120"/>
        <v>4</v>
      </c>
      <c r="H931" s="15">
        <f t="shared" si="121"/>
        <v>1884.6153846153845</v>
      </c>
      <c r="I931" s="15">
        <f t="shared" si="122"/>
        <v>49000</v>
      </c>
      <c r="J931" s="14">
        <f t="shared" si="123"/>
        <v>5880</v>
      </c>
      <c r="K931" s="15">
        <f t="shared" si="124"/>
        <v>367.5</v>
      </c>
      <c r="L931" s="15">
        <f t="shared" si="125"/>
        <v>42752.5</v>
      </c>
      <c r="M931" s="14"/>
      <c r="N931" s="14"/>
    </row>
    <row r="932" ht="14.25">
      <c r="A932" s="14">
        <v>930</v>
      </c>
      <c r="B932" s="14" t="str">
        <f t="shared" ref="B932:B995" si="127">"Empl_"&amp;A932</f>
        <v>Empl_930</v>
      </c>
      <c r="C932" s="14" t="s">
        <v>8</v>
      </c>
      <c r="D932" s="14">
        <v>48000</v>
      </c>
      <c r="E932" s="14">
        <f t="shared" ca="1" si="126"/>
        <v>30</v>
      </c>
      <c r="F932" s="14">
        <v>23</v>
      </c>
      <c r="G932" s="14">
        <f t="shared" ref="G932:G995" si="128">E932-F932</f>
        <v>7</v>
      </c>
      <c r="H932" s="15">
        <f t="shared" ref="H932:H995" si="129">D932/F932</f>
        <v>2086.9565217391305</v>
      </c>
      <c r="I932" s="15">
        <f t="shared" ref="I932:I995" si="130">H932*F932</f>
        <v>48000</v>
      </c>
      <c r="J932" s="14">
        <f t="shared" ref="J932:J995" si="131">I932*12%</f>
        <v>5760</v>
      </c>
      <c r="K932" s="15">
        <f t="shared" ref="K932:K995" si="132">I932*0.75%</f>
        <v>360</v>
      </c>
      <c r="L932" s="15">
        <f t="shared" ref="L932:L995" si="133">I932-(J932+K932)</f>
        <v>41880</v>
      </c>
      <c r="M932" s="14"/>
      <c r="N932" s="14"/>
    </row>
    <row r="933" ht="14.25">
      <c r="A933" s="14">
        <v>931</v>
      </c>
      <c r="B933" s="14" t="str">
        <f t="shared" si="127"/>
        <v>Empl_931</v>
      </c>
      <c r="C933" s="14" t="s">
        <v>12</v>
      </c>
      <c r="D933" s="14">
        <v>31000</v>
      </c>
      <c r="E933" s="14">
        <f t="shared" ca="1" si="126"/>
        <v>30</v>
      </c>
      <c r="F933" s="14">
        <v>21</v>
      </c>
      <c r="G933" s="14">
        <f t="shared" si="128"/>
        <v>9</v>
      </c>
      <c r="H933" s="15">
        <f t="shared" si="129"/>
        <v>1476.1904761904761</v>
      </c>
      <c r="I933" s="15">
        <f t="shared" si="130"/>
        <v>31000</v>
      </c>
      <c r="J933" s="14">
        <f t="shared" si="131"/>
        <v>3720</v>
      </c>
      <c r="K933" s="15">
        <f t="shared" si="132"/>
        <v>232.5</v>
      </c>
      <c r="L933" s="15">
        <f t="shared" si="133"/>
        <v>27047.5</v>
      </c>
      <c r="M933" s="14"/>
      <c r="N933" s="14"/>
    </row>
    <row r="934" ht="14.25">
      <c r="A934" s="14">
        <v>932</v>
      </c>
      <c r="B934" s="14" t="str">
        <f t="shared" si="127"/>
        <v>Empl_932</v>
      </c>
      <c r="C934" s="14" t="s">
        <v>10</v>
      </c>
      <c r="D934" s="14">
        <v>20000</v>
      </c>
      <c r="E934" s="14">
        <f t="shared" ca="1" si="126"/>
        <v>30</v>
      </c>
      <c r="F934" s="14">
        <v>23</v>
      </c>
      <c r="G934" s="14">
        <f t="shared" si="128"/>
        <v>7</v>
      </c>
      <c r="H934" s="15">
        <f t="shared" si="129"/>
        <v>869.56521739130437</v>
      </c>
      <c r="I934" s="15">
        <f t="shared" si="130"/>
        <v>20000</v>
      </c>
      <c r="J934" s="14">
        <f t="shared" si="131"/>
        <v>2400</v>
      </c>
      <c r="K934" s="15">
        <f t="shared" si="132"/>
        <v>150</v>
      </c>
      <c r="L934" s="15">
        <f t="shared" si="133"/>
        <v>17450</v>
      </c>
      <c r="M934" s="14"/>
      <c r="N934" s="14"/>
    </row>
    <row r="935" ht="14.25">
      <c r="A935" s="14">
        <v>933</v>
      </c>
      <c r="B935" s="14" t="str">
        <f t="shared" si="127"/>
        <v>Empl_933</v>
      </c>
      <c r="C935" s="14" t="s">
        <v>13</v>
      </c>
      <c r="D935" s="14">
        <v>47000</v>
      </c>
      <c r="E935" s="14">
        <f t="shared" ca="1" si="126"/>
        <v>30</v>
      </c>
      <c r="F935" s="14">
        <v>25</v>
      </c>
      <c r="G935" s="14">
        <f t="shared" si="128"/>
        <v>5</v>
      </c>
      <c r="H935" s="15">
        <f t="shared" si="129"/>
        <v>1880</v>
      </c>
      <c r="I935" s="15">
        <f t="shared" si="130"/>
        <v>47000</v>
      </c>
      <c r="J935" s="14">
        <f t="shared" si="131"/>
        <v>5640</v>
      </c>
      <c r="K935" s="15">
        <f t="shared" si="132"/>
        <v>352.5</v>
      </c>
      <c r="L935" s="15">
        <f t="shared" si="133"/>
        <v>41007.5</v>
      </c>
      <c r="M935" s="14"/>
      <c r="N935" s="14"/>
    </row>
    <row r="936" ht="14.25">
      <c r="A936" s="14">
        <v>934</v>
      </c>
      <c r="B936" s="14" t="str">
        <f t="shared" si="127"/>
        <v>Empl_934</v>
      </c>
      <c r="C936" s="14" t="s">
        <v>9</v>
      </c>
      <c r="D936" s="14">
        <v>16000</v>
      </c>
      <c r="E936" s="14">
        <f t="shared" ca="1" si="126"/>
        <v>30</v>
      </c>
      <c r="F936" s="14">
        <v>29</v>
      </c>
      <c r="G936" s="14">
        <f t="shared" si="128"/>
        <v>1</v>
      </c>
      <c r="H936" s="15">
        <f t="shared" si="129"/>
        <v>551.72413793103453</v>
      </c>
      <c r="I936" s="15">
        <f t="shared" si="130"/>
        <v>16000.000000000002</v>
      </c>
      <c r="J936" s="14">
        <f t="shared" si="131"/>
        <v>1920.0000000000002</v>
      </c>
      <c r="K936" s="15">
        <f t="shared" si="132"/>
        <v>120.00000000000001</v>
      </c>
      <c r="L936" s="15">
        <f t="shared" si="133"/>
        <v>13960.000000000002</v>
      </c>
      <c r="M936" s="14"/>
      <c r="N936" s="14"/>
    </row>
    <row r="937" ht="14.25">
      <c r="A937" s="14">
        <v>935</v>
      </c>
      <c r="B937" s="14" t="str">
        <f t="shared" si="127"/>
        <v>Empl_935</v>
      </c>
      <c r="C937" s="14" t="s">
        <v>11</v>
      </c>
      <c r="D937" s="14">
        <v>33000</v>
      </c>
      <c r="E937" s="14">
        <f t="shared" ca="1" si="126"/>
        <v>30</v>
      </c>
      <c r="F937" s="14">
        <v>24</v>
      </c>
      <c r="G937" s="14">
        <f t="shared" si="128"/>
        <v>6</v>
      </c>
      <c r="H937" s="15">
        <f t="shared" si="129"/>
        <v>1375</v>
      </c>
      <c r="I937" s="15">
        <f t="shared" si="130"/>
        <v>33000</v>
      </c>
      <c r="J937" s="14">
        <f t="shared" si="131"/>
        <v>3960</v>
      </c>
      <c r="K937" s="15">
        <f t="shared" si="132"/>
        <v>247.5</v>
      </c>
      <c r="L937" s="15">
        <f t="shared" si="133"/>
        <v>28792.5</v>
      </c>
      <c r="M937" s="14"/>
      <c r="N937" s="14"/>
    </row>
    <row r="938" ht="14.25">
      <c r="A938" s="14">
        <v>936</v>
      </c>
      <c r="B938" s="14" t="str">
        <f t="shared" si="127"/>
        <v>Empl_936</v>
      </c>
      <c r="C938" s="14" t="s">
        <v>8</v>
      </c>
      <c r="D938" s="14">
        <v>42000</v>
      </c>
      <c r="E938" s="14">
        <f t="shared" ca="1" si="126"/>
        <v>30</v>
      </c>
      <c r="F938" s="14">
        <v>29</v>
      </c>
      <c r="G938" s="14">
        <f t="shared" si="128"/>
        <v>1</v>
      </c>
      <c r="H938" s="15">
        <f t="shared" si="129"/>
        <v>1448.2758620689656</v>
      </c>
      <c r="I938" s="15">
        <f t="shared" si="130"/>
        <v>42000</v>
      </c>
      <c r="J938" s="14">
        <f t="shared" si="131"/>
        <v>5040</v>
      </c>
      <c r="K938" s="15">
        <f t="shared" si="132"/>
        <v>315</v>
      </c>
      <c r="L938" s="15">
        <f t="shared" si="133"/>
        <v>36645</v>
      </c>
      <c r="M938" s="14"/>
      <c r="N938" s="14"/>
    </row>
    <row r="939" ht="14.25">
      <c r="A939" s="14">
        <v>937</v>
      </c>
      <c r="B939" s="14" t="str">
        <f t="shared" si="127"/>
        <v>Empl_937</v>
      </c>
      <c r="C939" s="14" t="s">
        <v>12</v>
      </c>
      <c r="D939" s="14">
        <v>47000</v>
      </c>
      <c r="E939" s="14">
        <f t="shared" ca="1" si="126"/>
        <v>30</v>
      </c>
      <c r="F939" s="14">
        <v>23</v>
      </c>
      <c r="G939" s="14">
        <f t="shared" si="128"/>
        <v>7</v>
      </c>
      <c r="H939" s="15">
        <f t="shared" si="129"/>
        <v>2043.4782608695652</v>
      </c>
      <c r="I939" s="15">
        <f t="shared" si="130"/>
        <v>47000</v>
      </c>
      <c r="J939" s="14">
        <f t="shared" si="131"/>
        <v>5640</v>
      </c>
      <c r="K939" s="15">
        <f t="shared" si="132"/>
        <v>352.5</v>
      </c>
      <c r="L939" s="15">
        <f t="shared" si="133"/>
        <v>41007.5</v>
      </c>
      <c r="M939" s="14"/>
      <c r="N939" s="14"/>
    </row>
    <row r="940" ht="14.25">
      <c r="A940" s="14">
        <v>938</v>
      </c>
      <c r="B940" s="14" t="str">
        <f t="shared" si="127"/>
        <v>Empl_938</v>
      </c>
      <c r="C940" s="14" t="s">
        <v>10</v>
      </c>
      <c r="D940" s="14">
        <v>43000</v>
      </c>
      <c r="E940" s="14">
        <f t="shared" ca="1" si="126"/>
        <v>30</v>
      </c>
      <c r="F940" s="14">
        <v>22</v>
      </c>
      <c r="G940" s="14">
        <f t="shared" si="128"/>
        <v>8</v>
      </c>
      <c r="H940" s="15">
        <f t="shared" si="129"/>
        <v>1954.5454545454545</v>
      </c>
      <c r="I940" s="15">
        <f t="shared" si="130"/>
        <v>43000</v>
      </c>
      <c r="J940" s="14">
        <f t="shared" si="131"/>
        <v>5160</v>
      </c>
      <c r="K940" s="15">
        <f t="shared" si="132"/>
        <v>322.5</v>
      </c>
      <c r="L940" s="15">
        <f t="shared" si="133"/>
        <v>37517.5</v>
      </c>
      <c r="M940" s="14"/>
      <c r="N940" s="14"/>
    </row>
    <row r="941" ht="14.25">
      <c r="A941" s="14">
        <v>939</v>
      </c>
      <c r="B941" s="14" t="str">
        <f t="shared" si="127"/>
        <v>Empl_939</v>
      </c>
      <c r="C941" s="14" t="s">
        <v>13</v>
      </c>
      <c r="D941" s="14">
        <v>60000</v>
      </c>
      <c r="E941" s="14">
        <f t="shared" ca="1" si="126"/>
        <v>30</v>
      </c>
      <c r="F941" s="14">
        <v>29</v>
      </c>
      <c r="G941" s="14">
        <f t="shared" si="128"/>
        <v>1</v>
      </c>
      <c r="H941" s="15">
        <f t="shared" si="129"/>
        <v>2068.9655172413795</v>
      </c>
      <c r="I941" s="15">
        <f t="shared" si="130"/>
        <v>60000.000000000007</v>
      </c>
      <c r="J941" s="14">
        <f t="shared" si="131"/>
        <v>7200.0000000000009</v>
      </c>
      <c r="K941" s="15">
        <f t="shared" si="132"/>
        <v>450.00000000000006</v>
      </c>
      <c r="L941" s="15">
        <f t="shared" si="133"/>
        <v>52350.000000000007</v>
      </c>
      <c r="M941" s="14"/>
      <c r="N941" s="14"/>
    </row>
    <row r="942" ht="14.25">
      <c r="A942" s="14">
        <v>940</v>
      </c>
      <c r="B942" s="14" t="str">
        <f t="shared" si="127"/>
        <v>Empl_940</v>
      </c>
      <c r="C942" s="14" t="s">
        <v>9</v>
      </c>
      <c r="D942" s="14">
        <v>18000</v>
      </c>
      <c r="E942" s="14">
        <f t="shared" ca="1" si="126"/>
        <v>30</v>
      </c>
      <c r="F942" s="14">
        <v>27</v>
      </c>
      <c r="G942" s="14">
        <f t="shared" si="128"/>
        <v>3</v>
      </c>
      <c r="H942" s="15">
        <f t="shared" si="129"/>
        <v>666.66666666666663</v>
      </c>
      <c r="I942" s="15">
        <f t="shared" si="130"/>
        <v>18000</v>
      </c>
      <c r="J942" s="14">
        <f t="shared" si="131"/>
        <v>2160</v>
      </c>
      <c r="K942" s="15">
        <f t="shared" si="132"/>
        <v>135</v>
      </c>
      <c r="L942" s="15">
        <f t="shared" si="133"/>
        <v>15705</v>
      </c>
      <c r="M942" s="14"/>
      <c r="N942" s="14"/>
    </row>
    <row r="943" ht="14.25">
      <c r="A943" s="14">
        <v>941</v>
      </c>
      <c r="B943" s="14" t="str">
        <f t="shared" si="127"/>
        <v>Empl_941</v>
      </c>
      <c r="C943" s="14" t="s">
        <v>11</v>
      </c>
      <c r="D943" s="14">
        <v>30000</v>
      </c>
      <c r="E943" s="14">
        <f t="shared" ca="1" si="126"/>
        <v>30</v>
      </c>
      <c r="F943" s="14">
        <v>23</v>
      </c>
      <c r="G943" s="14">
        <f t="shared" si="128"/>
        <v>7</v>
      </c>
      <c r="H943" s="15">
        <f t="shared" si="129"/>
        <v>1304.3478260869565</v>
      </c>
      <c r="I943" s="15">
        <f t="shared" si="130"/>
        <v>30000</v>
      </c>
      <c r="J943" s="14">
        <f t="shared" si="131"/>
        <v>3600</v>
      </c>
      <c r="K943" s="15">
        <f t="shared" si="132"/>
        <v>225</v>
      </c>
      <c r="L943" s="15">
        <f t="shared" si="133"/>
        <v>26175</v>
      </c>
      <c r="M943" s="14"/>
      <c r="N943" s="14"/>
    </row>
    <row r="944" ht="14.25">
      <c r="A944" s="14">
        <v>942</v>
      </c>
      <c r="B944" s="14" t="str">
        <f t="shared" si="127"/>
        <v>Empl_942</v>
      </c>
      <c r="C944" s="14" t="s">
        <v>8</v>
      </c>
      <c r="D944" s="14">
        <v>57000</v>
      </c>
      <c r="E944" s="14">
        <f t="shared" ca="1" si="126"/>
        <v>30</v>
      </c>
      <c r="F944" s="14">
        <v>29</v>
      </c>
      <c r="G944" s="14">
        <f t="shared" si="128"/>
        <v>1</v>
      </c>
      <c r="H944" s="15">
        <f t="shared" si="129"/>
        <v>1965.5172413793102</v>
      </c>
      <c r="I944" s="15">
        <f t="shared" si="130"/>
        <v>57000</v>
      </c>
      <c r="J944" s="14">
        <f t="shared" si="131"/>
        <v>6840</v>
      </c>
      <c r="K944" s="15">
        <f t="shared" si="132"/>
        <v>427.5</v>
      </c>
      <c r="L944" s="15">
        <f t="shared" si="133"/>
        <v>49732.5</v>
      </c>
      <c r="M944" s="14"/>
      <c r="N944" s="14"/>
    </row>
    <row r="945" ht="14.25">
      <c r="A945" s="14">
        <v>943</v>
      </c>
      <c r="B945" s="14" t="str">
        <f t="shared" si="127"/>
        <v>Empl_943</v>
      </c>
      <c r="C945" s="14" t="s">
        <v>12</v>
      </c>
      <c r="D945" s="14">
        <v>57000</v>
      </c>
      <c r="E945" s="14">
        <f t="shared" ca="1" si="126"/>
        <v>30</v>
      </c>
      <c r="F945" s="14">
        <v>22</v>
      </c>
      <c r="G945" s="14">
        <f t="shared" si="128"/>
        <v>8</v>
      </c>
      <c r="H945" s="15">
        <f t="shared" si="129"/>
        <v>2590.909090909091</v>
      </c>
      <c r="I945" s="15">
        <f t="shared" si="130"/>
        <v>57000</v>
      </c>
      <c r="J945" s="14">
        <f t="shared" si="131"/>
        <v>6840</v>
      </c>
      <c r="K945" s="15">
        <f t="shared" si="132"/>
        <v>427.5</v>
      </c>
      <c r="L945" s="15">
        <f t="shared" si="133"/>
        <v>49732.5</v>
      </c>
      <c r="M945" s="14"/>
      <c r="N945" s="14"/>
    </row>
    <row r="946" ht="14.25">
      <c r="A946" s="14">
        <v>944</v>
      </c>
      <c r="B946" s="14" t="str">
        <f t="shared" si="127"/>
        <v>Empl_944</v>
      </c>
      <c r="C946" s="14" t="s">
        <v>10</v>
      </c>
      <c r="D946" s="14">
        <v>38000</v>
      </c>
      <c r="E946" s="14">
        <f t="shared" ca="1" si="126"/>
        <v>30</v>
      </c>
      <c r="F946" s="14">
        <v>21</v>
      </c>
      <c r="G946" s="14">
        <f t="shared" si="128"/>
        <v>9</v>
      </c>
      <c r="H946" s="15">
        <f t="shared" si="129"/>
        <v>1809.5238095238096</v>
      </c>
      <c r="I946" s="15">
        <f t="shared" si="130"/>
        <v>38000</v>
      </c>
      <c r="J946" s="14">
        <f t="shared" si="131"/>
        <v>4560</v>
      </c>
      <c r="K946" s="15">
        <f t="shared" si="132"/>
        <v>285</v>
      </c>
      <c r="L946" s="15">
        <f t="shared" si="133"/>
        <v>33155</v>
      </c>
      <c r="M946" s="14"/>
      <c r="N946" s="14"/>
    </row>
    <row r="947" ht="14.25">
      <c r="A947" s="14">
        <v>945</v>
      </c>
      <c r="B947" s="14" t="str">
        <f t="shared" si="127"/>
        <v>Empl_945</v>
      </c>
      <c r="C947" s="14" t="s">
        <v>13</v>
      </c>
      <c r="D947" s="14">
        <v>16000</v>
      </c>
      <c r="E947" s="14">
        <f t="shared" ca="1" si="126"/>
        <v>30</v>
      </c>
      <c r="F947" s="14">
        <v>27</v>
      </c>
      <c r="G947" s="14">
        <f t="shared" si="128"/>
        <v>3</v>
      </c>
      <c r="H947" s="15">
        <f t="shared" si="129"/>
        <v>592.59259259259261</v>
      </c>
      <c r="I947" s="15">
        <f t="shared" si="130"/>
        <v>16000</v>
      </c>
      <c r="J947" s="14">
        <f t="shared" si="131"/>
        <v>1920</v>
      </c>
      <c r="K947" s="15">
        <f t="shared" si="132"/>
        <v>120</v>
      </c>
      <c r="L947" s="15">
        <f t="shared" si="133"/>
        <v>13960</v>
      </c>
      <c r="M947" s="14"/>
      <c r="N947" s="14"/>
    </row>
    <row r="948" ht="14.25">
      <c r="A948" s="14">
        <v>946</v>
      </c>
      <c r="B948" s="14" t="str">
        <f t="shared" si="127"/>
        <v>Empl_946</v>
      </c>
      <c r="C948" s="14" t="s">
        <v>9</v>
      </c>
      <c r="D948" s="14">
        <v>15000</v>
      </c>
      <c r="E948" s="14">
        <f t="shared" ca="1" si="126"/>
        <v>30</v>
      </c>
      <c r="F948" s="14">
        <v>21</v>
      </c>
      <c r="G948" s="14">
        <f t="shared" si="128"/>
        <v>9</v>
      </c>
      <c r="H948" s="15">
        <f t="shared" si="129"/>
        <v>714.28571428571433</v>
      </c>
      <c r="I948" s="15">
        <f t="shared" si="130"/>
        <v>15000.000000000002</v>
      </c>
      <c r="J948" s="14">
        <f t="shared" si="131"/>
        <v>1800.0000000000002</v>
      </c>
      <c r="K948" s="15">
        <f t="shared" si="132"/>
        <v>112.50000000000001</v>
      </c>
      <c r="L948" s="15">
        <f t="shared" si="133"/>
        <v>13087.500000000002</v>
      </c>
      <c r="M948" s="14"/>
      <c r="N948" s="14"/>
    </row>
    <row r="949" ht="14.25">
      <c r="A949" s="14">
        <v>947</v>
      </c>
      <c r="B949" s="14" t="str">
        <f t="shared" si="127"/>
        <v>Empl_947</v>
      </c>
      <c r="C949" s="14" t="s">
        <v>11</v>
      </c>
      <c r="D949" s="14">
        <v>54000</v>
      </c>
      <c r="E949" s="14">
        <f t="shared" ca="1" si="126"/>
        <v>30</v>
      </c>
      <c r="F949" s="14">
        <v>28</v>
      </c>
      <c r="G949" s="14">
        <f t="shared" si="128"/>
        <v>2</v>
      </c>
      <c r="H949" s="15">
        <f t="shared" si="129"/>
        <v>1928.5714285714287</v>
      </c>
      <c r="I949" s="15">
        <f t="shared" si="130"/>
        <v>54000</v>
      </c>
      <c r="J949" s="14">
        <f t="shared" si="131"/>
        <v>6480</v>
      </c>
      <c r="K949" s="15">
        <f t="shared" si="132"/>
        <v>405</v>
      </c>
      <c r="L949" s="15">
        <f t="shared" si="133"/>
        <v>47115</v>
      </c>
      <c r="M949" s="14"/>
      <c r="N949" s="14"/>
    </row>
    <row r="950" ht="14.25">
      <c r="A950" s="14">
        <v>948</v>
      </c>
      <c r="B950" s="14" t="str">
        <f t="shared" si="127"/>
        <v>Empl_948</v>
      </c>
      <c r="C950" s="14" t="s">
        <v>8</v>
      </c>
      <c r="D950" s="14">
        <v>40000</v>
      </c>
      <c r="E950" s="14">
        <f t="shared" ca="1" si="126"/>
        <v>30</v>
      </c>
      <c r="F950" s="14">
        <v>22</v>
      </c>
      <c r="G950" s="14">
        <f t="shared" si="128"/>
        <v>8</v>
      </c>
      <c r="H950" s="15">
        <f t="shared" si="129"/>
        <v>1818.1818181818182</v>
      </c>
      <c r="I950" s="15">
        <f t="shared" si="130"/>
        <v>40000</v>
      </c>
      <c r="J950" s="14">
        <f t="shared" si="131"/>
        <v>4800</v>
      </c>
      <c r="K950" s="15">
        <f t="shared" si="132"/>
        <v>300</v>
      </c>
      <c r="L950" s="15">
        <f t="shared" si="133"/>
        <v>34900</v>
      </c>
      <c r="M950" s="14"/>
      <c r="N950" s="14"/>
    </row>
    <row r="951" ht="14.25">
      <c r="A951" s="14">
        <v>949</v>
      </c>
      <c r="B951" s="14" t="str">
        <f t="shared" si="127"/>
        <v>Empl_949</v>
      </c>
      <c r="C951" s="14" t="s">
        <v>12</v>
      </c>
      <c r="D951" s="14">
        <v>46000</v>
      </c>
      <c r="E951" s="14">
        <f t="shared" ca="1" si="126"/>
        <v>30</v>
      </c>
      <c r="F951" s="14">
        <v>29</v>
      </c>
      <c r="G951" s="14">
        <f t="shared" si="128"/>
        <v>1</v>
      </c>
      <c r="H951" s="15">
        <f t="shared" si="129"/>
        <v>1586.2068965517242</v>
      </c>
      <c r="I951" s="15">
        <f t="shared" si="130"/>
        <v>46000</v>
      </c>
      <c r="J951" s="14">
        <f t="shared" si="131"/>
        <v>5520</v>
      </c>
      <c r="K951" s="15">
        <f t="shared" si="132"/>
        <v>345</v>
      </c>
      <c r="L951" s="15">
        <f t="shared" si="133"/>
        <v>40135</v>
      </c>
      <c r="M951" s="14"/>
      <c r="N951" s="14"/>
    </row>
    <row r="952" ht="14.25">
      <c r="A952" s="14">
        <v>950</v>
      </c>
      <c r="B952" s="14" t="str">
        <f t="shared" si="127"/>
        <v>Empl_950</v>
      </c>
      <c r="C952" s="14" t="s">
        <v>10</v>
      </c>
      <c r="D952" s="14">
        <v>31000</v>
      </c>
      <c r="E952" s="14">
        <f t="shared" ca="1" si="126"/>
        <v>30</v>
      </c>
      <c r="F952" s="14">
        <v>26</v>
      </c>
      <c r="G952" s="14">
        <f t="shared" si="128"/>
        <v>4</v>
      </c>
      <c r="H952" s="15">
        <f t="shared" si="129"/>
        <v>1192.3076923076924</v>
      </c>
      <c r="I952" s="15">
        <f t="shared" si="130"/>
        <v>31000</v>
      </c>
      <c r="J952" s="14">
        <f t="shared" si="131"/>
        <v>3720</v>
      </c>
      <c r="K952" s="15">
        <f t="shared" si="132"/>
        <v>232.5</v>
      </c>
      <c r="L952" s="15">
        <f t="shared" si="133"/>
        <v>27047.5</v>
      </c>
      <c r="M952" s="14"/>
      <c r="N952" s="14"/>
    </row>
    <row r="953" ht="14.25">
      <c r="A953" s="14">
        <v>951</v>
      </c>
      <c r="B953" s="14" t="str">
        <f t="shared" si="127"/>
        <v>Empl_951</v>
      </c>
      <c r="C953" s="14" t="s">
        <v>13</v>
      </c>
      <c r="D953" s="14">
        <v>31000</v>
      </c>
      <c r="E953" s="14">
        <f t="shared" ca="1" si="126"/>
        <v>30</v>
      </c>
      <c r="F953" s="14">
        <v>23</v>
      </c>
      <c r="G953" s="14">
        <f t="shared" si="128"/>
        <v>7</v>
      </c>
      <c r="H953" s="15">
        <f t="shared" si="129"/>
        <v>1347.8260869565217</v>
      </c>
      <c r="I953" s="15">
        <f t="shared" si="130"/>
        <v>31000</v>
      </c>
      <c r="J953" s="14">
        <f t="shared" si="131"/>
        <v>3720</v>
      </c>
      <c r="K953" s="15">
        <f t="shared" si="132"/>
        <v>232.5</v>
      </c>
      <c r="L953" s="15">
        <f t="shared" si="133"/>
        <v>27047.5</v>
      </c>
      <c r="M953" s="14"/>
      <c r="N953" s="14"/>
    </row>
    <row r="954" ht="14.25">
      <c r="A954" s="14">
        <v>952</v>
      </c>
      <c r="B954" s="14" t="str">
        <f t="shared" si="127"/>
        <v>Empl_952</v>
      </c>
      <c r="C954" s="14" t="s">
        <v>9</v>
      </c>
      <c r="D954" s="14">
        <v>20000</v>
      </c>
      <c r="E954" s="14">
        <f t="shared" ca="1" si="126"/>
        <v>30</v>
      </c>
      <c r="F954" s="14">
        <v>27</v>
      </c>
      <c r="G954" s="14">
        <f t="shared" si="128"/>
        <v>3</v>
      </c>
      <c r="H954" s="15">
        <f t="shared" si="129"/>
        <v>740.74074074074076</v>
      </c>
      <c r="I954" s="15">
        <f t="shared" si="130"/>
        <v>20000</v>
      </c>
      <c r="J954" s="14">
        <f t="shared" si="131"/>
        <v>2400</v>
      </c>
      <c r="K954" s="15">
        <f t="shared" si="132"/>
        <v>150</v>
      </c>
      <c r="L954" s="15">
        <f t="shared" si="133"/>
        <v>17450</v>
      </c>
      <c r="M954" s="14"/>
      <c r="N954" s="14"/>
    </row>
    <row r="955" ht="14.25">
      <c r="A955" s="14">
        <v>953</v>
      </c>
      <c r="B955" s="14" t="str">
        <f t="shared" si="127"/>
        <v>Empl_953</v>
      </c>
      <c r="C955" s="14" t="s">
        <v>11</v>
      </c>
      <c r="D955" s="14">
        <v>56000</v>
      </c>
      <c r="E955" s="14">
        <f t="shared" ca="1" si="126"/>
        <v>30</v>
      </c>
      <c r="F955" s="14">
        <v>27</v>
      </c>
      <c r="G955" s="14">
        <f t="shared" si="128"/>
        <v>3</v>
      </c>
      <c r="H955" s="15">
        <f t="shared" si="129"/>
        <v>2074.0740740740739</v>
      </c>
      <c r="I955" s="15">
        <f t="shared" si="130"/>
        <v>55999.999999999993</v>
      </c>
      <c r="J955" s="14">
        <f t="shared" si="131"/>
        <v>6719.9999999999991</v>
      </c>
      <c r="K955" s="15">
        <f t="shared" si="132"/>
        <v>419.99999999999994</v>
      </c>
      <c r="L955" s="15">
        <f t="shared" si="133"/>
        <v>48859.999999999993</v>
      </c>
      <c r="M955" s="14"/>
      <c r="N955" s="14"/>
    </row>
    <row r="956" ht="14.25">
      <c r="A956" s="14">
        <v>954</v>
      </c>
      <c r="B956" s="14" t="str">
        <f t="shared" si="127"/>
        <v>Empl_954</v>
      </c>
      <c r="C956" s="14" t="s">
        <v>8</v>
      </c>
      <c r="D956" s="14">
        <v>38000</v>
      </c>
      <c r="E956" s="14">
        <f t="shared" ca="1" si="126"/>
        <v>30</v>
      </c>
      <c r="F956" s="14">
        <v>20</v>
      </c>
      <c r="G956" s="14">
        <f t="shared" si="128"/>
        <v>10</v>
      </c>
      <c r="H956" s="15">
        <f t="shared" si="129"/>
        <v>1900</v>
      </c>
      <c r="I956" s="15">
        <f t="shared" si="130"/>
        <v>38000</v>
      </c>
      <c r="J956" s="14">
        <f t="shared" si="131"/>
        <v>4560</v>
      </c>
      <c r="K956" s="15">
        <f t="shared" si="132"/>
        <v>285</v>
      </c>
      <c r="L956" s="15">
        <f t="shared" si="133"/>
        <v>33155</v>
      </c>
      <c r="M956" s="14"/>
      <c r="N956" s="14"/>
    </row>
    <row r="957" ht="14.25">
      <c r="A957" s="14">
        <v>955</v>
      </c>
      <c r="B957" s="14" t="str">
        <f t="shared" si="127"/>
        <v>Empl_955</v>
      </c>
      <c r="C957" s="14" t="s">
        <v>12</v>
      </c>
      <c r="D957" s="14">
        <v>26000</v>
      </c>
      <c r="E957" s="14">
        <f t="shared" ca="1" si="126"/>
        <v>30</v>
      </c>
      <c r="F957" s="14">
        <v>24</v>
      </c>
      <c r="G957" s="14">
        <f t="shared" si="128"/>
        <v>6</v>
      </c>
      <c r="H957" s="15">
        <f t="shared" si="129"/>
        <v>1083.3333333333333</v>
      </c>
      <c r="I957" s="15">
        <f t="shared" si="130"/>
        <v>26000</v>
      </c>
      <c r="J957" s="14">
        <f t="shared" si="131"/>
        <v>3120</v>
      </c>
      <c r="K957" s="15">
        <f t="shared" si="132"/>
        <v>195</v>
      </c>
      <c r="L957" s="15">
        <f t="shared" si="133"/>
        <v>22685</v>
      </c>
      <c r="M957" s="14"/>
      <c r="N957" s="14"/>
    </row>
    <row r="958" ht="14.25">
      <c r="A958" s="14">
        <v>956</v>
      </c>
      <c r="B958" s="14" t="str">
        <f t="shared" si="127"/>
        <v>Empl_956</v>
      </c>
      <c r="C958" s="14" t="s">
        <v>10</v>
      </c>
      <c r="D958" s="14">
        <v>50000</v>
      </c>
      <c r="E958" s="14">
        <f t="shared" ca="1" si="126"/>
        <v>30</v>
      </c>
      <c r="F958" s="14">
        <v>25</v>
      </c>
      <c r="G958" s="14">
        <f t="shared" si="128"/>
        <v>5</v>
      </c>
      <c r="H958" s="15">
        <f t="shared" si="129"/>
        <v>2000</v>
      </c>
      <c r="I958" s="15">
        <f t="shared" si="130"/>
        <v>50000</v>
      </c>
      <c r="J958" s="14">
        <f t="shared" si="131"/>
        <v>6000</v>
      </c>
      <c r="K958" s="15">
        <f t="shared" si="132"/>
        <v>375</v>
      </c>
      <c r="L958" s="15">
        <f t="shared" si="133"/>
        <v>43625</v>
      </c>
      <c r="M958" s="14"/>
      <c r="N958" s="14"/>
    </row>
    <row r="959" ht="14.25">
      <c r="A959" s="14">
        <v>957</v>
      </c>
      <c r="B959" s="14" t="str">
        <f t="shared" si="127"/>
        <v>Empl_957</v>
      </c>
      <c r="C959" s="14" t="s">
        <v>13</v>
      </c>
      <c r="D959" s="14">
        <v>60000</v>
      </c>
      <c r="E959" s="14">
        <f t="shared" ca="1" si="126"/>
        <v>30</v>
      </c>
      <c r="F959" s="14">
        <v>23</v>
      </c>
      <c r="G959" s="14">
        <f t="shared" si="128"/>
        <v>7</v>
      </c>
      <c r="H959" s="15">
        <f t="shared" si="129"/>
        <v>2608.695652173913</v>
      </c>
      <c r="I959" s="15">
        <f t="shared" si="130"/>
        <v>60000</v>
      </c>
      <c r="J959" s="14">
        <f t="shared" si="131"/>
        <v>7200</v>
      </c>
      <c r="K959" s="15">
        <f t="shared" si="132"/>
        <v>450</v>
      </c>
      <c r="L959" s="15">
        <f t="shared" si="133"/>
        <v>52350</v>
      </c>
      <c r="M959" s="14"/>
      <c r="N959" s="14"/>
    </row>
    <row r="960" ht="14.25">
      <c r="A960" s="14">
        <v>958</v>
      </c>
      <c r="B960" s="14" t="str">
        <f t="shared" si="127"/>
        <v>Empl_958</v>
      </c>
      <c r="C960" s="14" t="s">
        <v>9</v>
      </c>
      <c r="D960" s="14">
        <v>53000</v>
      </c>
      <c r="E960" s="14">
        <f t="shared" ca="1" si="126"/>
        <v>30</v>
      </c>
      <c r="F960" s="14">
        <v>23</v>
      </c>
      <c r="G960" s="14">
        <f t="shared" si="128"/>
        <v>7</v>
      </c>
      <c r="H960" s="15">
        <f t="shared" si="129"/>
        <v>2304.3478260869565</v>
      </c>
      <c r="I960" s="15">
        <f t="shared" si="130"/>
        <v>53000</v>
      </c>
      <c r="J960" s="14">
        <f t="shared" si="131"/>
        <v>6360</v>
      </c>
      <c r="K960" s="15">
        <f t="shared" si="132"/>
        <v>397.5</v>
      </c>
      <c r="L960" s="15">
        <f t="shared" si="133"/>
        <v>46242.5</v>
      </c>
      <c r="M960" s="14"/>
      <c r="N960" s="14"/>
    </row>
    <row r="961" ht="14.25">
      <c r="A961" s="14">
        <v>959</v>
      </c>
      <c r="B961" s="14" t="str">
        <f t="shared" si="127"/>
        <v>Empl_959</v>
      </c>
      <c r="C961" s="14" t="s">
        <v>11</v>
      </c>
      <c r="D961" s="14">
        <v>58000</v>
      </c>
      <c r="E961" s="14">
        <f t="shared" ca="1" si="126"/>
        <v>30</v>
      </c>
      <c r="F961" s="14">
        <v>25</v>
      </c>
      <c r="G961" s="14">
        <f t="shared" si="128"/>
        <v>5</v>
      </c>
      <c r="H961" s="15">
        <f t="shared" si="129"/>
        <v>2320</v>
      </c>
      <c r="I961" s="15">
        <f t="shared" si="130"/>
        <v>58000</v>
      </c>
      <c r="J961" s="14">
        <f t="shared" si="131"/>
        <v>6960</v>
      </c>
      <c r="K961" s="15">
        <f t="shared" si="132"/>
        <v>435</v>
      </c>
      <c r="L961" s="15">
        <f t="shared" si="133"/>
        <v>50605</v>
      </c>
      <c r="M961" s="14"/>
      <c r="N961" s="14"/>
    </row>
    <row r="962" ht="14.25">
      <c r="A962" s="14">
        <v>960</v>
      </c>
      <c r="B962" s="14" t="str">
        <f t="shared" si="127"/>
        <v>Empl_960</v>
      </c>
      <c r="C962" s="14" t="s">
        <v>8</v>
      </c>
      <c r="D962" s="14">
        <v>48000</v>
      </c>
      <c r="E962" s="14">
        <f t="shared" ca="1" si="126"/>
        <v>30</v>
      </c>
      <c r="F962" s="14">
        <v>27</v>
      </c>
      <c r="G962" s="14">
        <f t="shared" si="128"/>
        <v>3</v>
      </c>
      <c r="H962" s="15">
        <f t="shared" si="129"/>
        <v>1777.7777777777778</v>
      </c>
      <c r="I962" s="15">
        <f t="shared" si="130"/>
        <v>48000</v>
      </c>
      <c r="J962" s="14">
        <f t="shared" si="131"/>
        <v>5760</v>
      </c>
      <c r="K962" s="15">
        <f t="shared" si="132"/>
        <v>360</v>
      </c>
      <c r="L962" s="15">
        <f t="shared" si="133"/>
        <v>41880</v>
      </c>
      <c r="M962" s="14"/>
      <c r="N962" s="14"/>
    </row>
    <row r="963" ht="14.25">
      <c r="A963" s="14">
        <v>961</v>
      </c>
      <c r="B963" s="14" t="str">
        <f t="shared" si="127"/>
        <v>Empl_961</v>
      </c>
      <c r="C963" s="14" t="s">
        <v>12</v>
      </c>
      <c r="D963" s="14">
        <v>60000</v>
      </c>
      <c r="E963" s="14">
        <f t="shared" ref="E963:E1002" ca="1" si="134">DAY(EOMONTH(TODAY(),0))</f>
        <v>30</v>
      </c>
      <c r="F963" s="14">
        <v>28</v>
      </c>
      <c r="G963" s="14">
        <f t="shared" si="128"/>
        <v>2</v>
      </c>
      <c r="H963" s="15">
        <f t="shared" si="129"/>
        <v>2142.8571428571427</v>
      </c>
      <c r="I963" s="15">
        <f t="shared" si="130"/>
        <v>59999.999999999993</v>
      </c>
      <c r="J963" s="14">
        <f t="shared" si="131"/>
        <v>7199.9999999999991</v>
      </c>
      <c r="K963" s="15">
        <f t="shared" si="132"/>
        <v>449.99999999999994</v>
      </c>
      <c r="L963" s="15">
        <f t="shared" si="133"/>
        <v>52349.999999999993</v>
      </c>
      <c r="M963" s="14"/>
      <c r="N963" s="14"/>
    </row>
    <row r="964" ht="14.25">
      <c r="A964" s="14">
        <v>962</v>
      </c>
      <c r="B964" s="14" t="str">
        <f t="shared" si="127"/>
        <v>Empl_962</v>
      </c>
      <c r="C964" s="14" t="s">
        <v>10</v>
      </c>
      <c r="D964" s="14">
        <v>30000</v>
      </c>
      <c r="E964" s="14">
        <f t="shared" ca="1" si="134"/>
        <v>30</v>
      </c>
      <c r="F964" s="14">
        <v>30</v>
      </c>
      <c r="G964" s="14">
        <f t="shared" si="128"/>
        <v>0</v>
      </c>
      <c r="H964" s="15">
        <f t="shared" si="129"/>
        <v>1000</v>
      </c>
      <c r="I964" s="15">
        <f t="shared" si="130"/>
        <v>30000</v>
      </c>
      <c r="J964" s="14">
        <f t="shared" si="131"/>
        <v>3600</v>
      </c>
      <c r="K964" s="15">
        <f t="shared" si="132"/>
        <v>225</v>
      </c>
      <c r="L964" s="15">
        <f t="shared" si="133"/>
        <v>26175</v>
      </c>
      <c r="M964" s="14"/>
      <c r="N964" s="14"/>
    </row>
    <row r="965" ht="14.25">
      <c r="A965" s="14">
        <v>963</v>
      </c>
      <c r="B965" s="14" t="str">
        <f t="shared" si="127"/>
        <v>Empl_963</v>
      </c>
      <c r="C965" s="14" t="s">
        <v>13</v>
      </c>
      <c r="D965" s="14">
        <v>22000</v>
      </c>
      <c r="E965" s="14">
        <f t="shared" ca="1" si="134"/>
        <v>30</v>
      </c>
      <c r="F965" s="14">
        <v>28</v>
      </c>
      <c r="G965" s="14">
        <f t="shared" si="128"/>
        <v>2</v>
      </c>
      <c r="H965" s="15">
        <f t="shared" si="129"/>
        <v>785.71428571428567</v>
      </c>
      <c r="I965" s="15">
        <f t="shared" si="130"/>
        <v>22000</v>
      </c>
      <c r="J965" s="14">
        <f t="shared" si="131"/>
        <v>2640</v>
      </c>
      <c r="K965" s="15">
        <f t="shared" si="132"/>
        <v>165</v>
      </c>
      <c r="L965" s="15">
        <f t="shared" si="133"/>
        <v>19195</v>
      </c>
      <c r="M965" s="14"/>
      <c r="N965" s="14"/>
    </row>
    <row r="966" ht="14.25">
      <c r="A966" s="14">
        <v>964</v>
      </c>
      <c r="B966" s="14" t="str">
        <f t="shared" si="127"/>
        <v>Empl_964</v>
      </c>
      <c r="C966" s="14" t="s">
        <v>9</v>
      </c>
      <c r="D966" s="14">
        <v>37000</v>
      </c>
      <c r="E966" s="14">
        <f t="shared" ca="1" si="134"/>
        <v>30</v>
      </c>
      <c r="F966" s="14">
        <v>24</v>
      </c>
      <c r="G966" s="14">
        <f t="shared" si="128"/>
        <v>6</v>
      </c>
      <c r="H966" s="15">
        <f t="shared" si="129"/>
        <v>1541.6666666666667</v>
      </c>
      <c r="I966" s="15">
        <f t="shared" si="130"/>
        <v>37000</v>
      </c>
      <c r="J966" s="14">
        <f t="shared" si="131"/>
        <v>4440</v>
      </c>
      <c r="K966" s="15">
        <f t="shared" si="132"/>
        <v>277.5</v>
      </c>
      <c r="L966" s="15">
        <f t="shared" si="133"/>
        <v>32282.5</v>
      </c>
      <c r="M966" s="14"/>
      <c r="N966" s="14"/>
    </row>
    <row r="967" ht="14.25">
      <c r="A967" s="14">
        <v>965</v>
      </c>
      <c r="B967" s="14" t="str">
        <f t="shared" si="127"/>
        <v>Empl_965</v>
      </c>
      <c r="C967" s="14" t="s">
        <v>11</v>
      </c>
      <c r="D967" s="14">
        <v>24000</v>
      </c>
      <c r="E967" s="14">
        <f t="shared" ca="1" si="134"/>
        <v>30</v>
      </c>
      <c r="F967" s="14">
        <v>23</v>
      </c>
      <c r="G967" s="14">
        <f t="shared" si="128"/>
        <v>7</v>
      </c>
      <c r="H967" s="15">
        <f t="shared" si="129"/>
        <v>1043.4782608695652</v>
      </c>
      <c r="I967" s="15">
        <f t="shared" si="130"/>
        <v>24000</v>
      </c>
      <c r="J967" s="14">
        <f t="shared" si="131"/>
        <v>2880</v>
      </c>
      <c r="K967" s="15">
        <f t="shared" si="132"/>
        <v>180</v>
      </c>
      <c r="L967" s="15">
        <f t="shared" si="133"/>
        <v>20940</v>
      </c>
      <c r="M967" s="14"/>
      <c r="N967" s="14"/>
    </row>
    <row r="968" ht="14.25">
      <c r="A968" s="14">
        <v>966</v>
      </c>
      <c r="B968" s="14" t="str">
        <f t="shared" si="127"/>
        <v>Empl_966</v>
      </c>
      <c r="C968" s="14" t="s">
        <v>8</v>
      </c>
      <c r="D968" s="14">
        <v>59000</v>
      </c>
      <c r="E968" s="14">
        <f t="shared" ca="1" si="134"/>
        <v>30</v>
      </c>
      <c r="F968" s="14">
        <v>20</v>
      </c>
      <c r="G968" s="14">
        <f t="shared" si="128"/>
        <v>10</v>
      </c>
      <c r="H968" s="15">
        <f t="shared" si="129"/>
        <v>2950</v>
      </c>
      <c r="I968" s="15">
        <f t="shared" si="130"/>
        <v>59000</v>
      </c>
      <c r="J968" s="14">
        <f t="shared" si="131"/>
        <v>7080</v>
      </c>
      <c r="K968" s="15">
        <f t="shared" si="132"/>
        <v>442.5</v>
      </c>
      <c r="L968" s="15">
        <f t="shared" si="133"/>
        <v>51477.5</v>
      </c>
      <c r="M968" s="14"/>
      <c r="N968" s="14"/>
    </row>
    <row r="969" ht="14.25">
      <c r="A969" s="14">
        <v>967</v>
      </c>
      <c r="B969" s="14" t="str">
        <f t="shared" si="127"/>
        <v>Empl_967</v>
      </c>
      <c r="C969" s="14" t="s">
        <v>12</v>
      </c>
      <c r="D969" s="14">
        <v>38000</v>
      </c>
      <c r="E969" s="14">
        <f t="shared" ca="1" si="134"/>
        <v>30</v>
      </c>
      <c r="F969" s="14">
        <v>24</v>
      </c>
      <c r="G969" s="14">
        <f t="shared" si="128"/>
        <v>6</v>
      </c>
      <c r="H969" s="15">
        <f t="shared" si="129"/>
        <v>1583.3333333333333</v>
      </c>
      <c r="I969" s="15">
        <f t="shared" si="130"/>
        <v>38000</v>
      </c>
      <c r="J969" s="14">
        <f t="shared" si="131"/>
        <v>4560</v>
      </c>
      <c r="K969" s="15">
        <f t="shared" si="132"/>
        <v>285</v>
      </c>
      <c r="L969" s="15">
        <f t="shared" si="133"/>
        <v>33155</v>
      </c>
      <c r="M969" s="14"/>
      <c r="N969" s="14"/>
    </row>
    <row r="970" ht="14.25">
      <c r="A970" s="14">
        <v>968</v>
      </c>
      <c r="B970" s="14" t="str">
        <f t="shared" si="127"/>
        <v>Empl_968</v>
      </c>
      <c r="C970" s="14" t="s">
        <v>10</v>
      </c>
      <c r="D970" s="14">
        <v>49000</v>
      </c>
      <c r="E970" s="14">
        <f t="shared" ca="1" si="134"/>
        <v>30</v>
      </c>
      <c r="F970" s="14">
        <v>27</v>
      </c>
      <c r="G970" s="14">
        <f t="shared" si="128"/>
        <v>3</v>
      </c>
      <c r="H970" s="15">
        <f t="shared" si="129"/>
        <v>1814.8148148148148</v>
      </c>
      <c r="I970" s="15">
        <f t="shared" si="130"/>
        <v>49000</v>
      </c>
      <c r="J970" s="14">
        <f t="shared" si="131"/>
        <v>5880</v>
      </c>
      <c r="K970" s="15">
        <f t="shared" si="132"/>
        <v>367.5</v>
      </c>
      <c r="L970" s="15">
        <f t="shared" si="133"/>
        <v>42752.5</v>
      </c>
      <c r="M970" s="14"/>
      <c r="N970" s="14"/>
    </row>
    <row r="971" ht="14.25">
      <c r="A971" s="14">
        <v>969</v>
      </c>
      <c r="B971" s="14" t="str">
        <f t="shared" si="127"/>
        <v>Empl_969</v>
      </c>
      <c r="C971" s="14" t="s">
        <v>13</v>
      </c>
      <c r="D971" s="14">
        <v>60000</v>
      </c>
      <c r="E971" s="14">
        <f t="shared" ca="1" si="134"/>
        <v>30</v>
      </c>
      <c r="F971" s="14">
        <v>22</v>
      </c>
      <c r="G971" s="14">
        <f t="shared" si="128"/>
        <v>8</v>
      </c>
      <c r="H971" s="15">
        <f t="shared" si="129"/>
        <v>2727.2727272727275</v>
      </c>
      <c r="I971" s="15">
        <f t="shared" si="130"/>
        <v>60000.000000000007</v>
      </c>
      <c r="J971" s="14">
        <f t="shared" si="131"/>
        <v>7200.0000000000009</v>
      </c>
      <c r="K971" s="15">
        <f t="shared" si="132"/>
        <v>450.00000000000006</v>
      </c>
      <c r="L971" s="15">
        <f t="shared" si="133"/>
        <v>52350.000000000007</v>
      </c>
      <c r="M971" s="14"/>
      <c r="N971" s="14"/>
    </row>
    <row r="972" ht="14.25">
      <c r="A972" s="14">
        <v>970</v>
      </c>
      <c r="B972" s="14" t="str">
        <f t="shared" si="127"/>
        <v>Empl_970</v>
      </c>
      <c r="C972" s="14" t="s">
        <v>9</v>
      </c>
      <c r="D972" s="14">
        <v>59000</v>
      </c>
      <c r="E972" s="14">
        <f t="shared" ca="1" si="134"/>
        <v>30</v>
      </c>
      <c r="F972" s="14">
        <v>29</v>
      </c>
      <c r="G972" s="14">
        <f t="shared" si="128"/>
        <v>1</v>
      </c>
      <c r="H972" s="15">
        <f t="shared" si="129"/>
        <v>2034.4827586206898</v>
      </c>
      <c r="I972" s="15">
        <f t="shared" si="130"/>
        <v>59000</v>
      </c>
      <c r="J972" s="14">
        <f t="shared" si="131"/>
        <v>7080</v>
      </c>
      <c r="K972" s="15">
        <f t="shared" si="132"/>
        <v>442.5</v>
      </c>
      <c r="L972" s="15">
        <f t="shared" si="133"/>
        <v>51477.5</v>
      </c>
      <c r="M972" s="14"/>
      <c r="N972" s="14"/>
    </row>
    <row r="973" ht="14.25">
      <c r="A973" s="14">
        <v>971</v>
      </c>
      <c r="B973" s="14" t="str">
        <f t="shared" si="127"/>
        <v>Empl_971</v>
      </c>
      <c r="C973" s="14" t="s">
        <v>11</v>
      </c>
      <c r="D973" s="14">
        <v>29000</v>
      </c>
      <c r="E973" s="14">
        <f t="shared" ca="1" si="134"/>
        <v>30</v>
      </c>
      <c r="F973" s="14">
        <v>22</v>
      </c>
      <c r="G973" s="14">
        <f t="shared" si="128"/>
        <v>8</v>
      </c>
      <c r="H973" s="15">
        <f t="shared" si="129"/>
        <v>1318.1818181818182</v>
      </c>
      <c r="I973" s="15">
        <f t="shared" si="130"/>
        <v>29000</v>
      </c>
      <c r="J973" s="14">
        <f t="shared" si="131"/>
        <v>3480</v>
      </c>
      <c r="K973" s="15">
        <f t="shared" si="132"/>
        <v>217.5</v>
      </c>
      <c r="L973" s="15">
        <f t="shared" si="133"/>
        <v>25302.5</v>
      </c>
      <c r="M973" s="14"/>
      <c r="N973" s="14"/>
    </row>
    <row r="974" ht="14.25">
      <c r="A974" s="14">
        <v>972</v>
      </c>
      <c r="B974" s="14" t="str">
        <f t="shared" si="127"/>
        <v>Empl_972</v>
      </c>
      <c r="C974" s="14" t="s">
        <v>8</v>
      </c>
      <c r="D974" s="14">
        <v>22000</v>
      </c>
      <c r="E974" s="14">
        <f t="shared" ca="1" si="134"/>
        <v>30</v>
      </c>
      <c r="F974" s="14">
        <v>23</v>
      </c>
      <c r="G974" s="14">
        <f t="shared" si="128"/>
        <v>7</v>
      </c>
      <c r="H974" s="15">
        <f t="shared" si="129"/>
        <v>956.52173913043475</v>
      </c>
      <c r="I974" s="15">
        <f t="shared" si="130"/>
        <v>22000</v>
      </c>
      <c r="J974" s="14">
        <f t="shared" si="131"/>
        <v>2640</v>
      </c>
      <c r="K974" s="15">
        <f t="shared" si="132"/>
        <v>165</v>
      </c>
      <c r="L974" s="15">
        <f t="shared" si="133"/>
        <v>19195</v>
      </c>
      <c r="M974" s="14"/>
      <c r="N974" s="14"/>
    </row>
    <row r="975" ht="14.25">
      <c r="A975" s="14">
        <v>973</v>
      </c>
      <c r="B975" s="14" t="str">
        <f t="shared" si="127"/>
        <v>Empl_973</v>
      </c>
      <c r="C975" s="14" t="s">
        <v>12</v>
      </c>
      <c r="D975" s="14">
        <v>52000</v>
      </c>
      <c r="E975" s="14">
        <f t="shared" ca="1" si="134"/>
        <v>30</v>
      </c>
      <c r="F975" s="14">
        <v>22</v>
      </c>
      <c r="G975" s="14">
        <f t="shared" si="128"/>
        <v>8</v>
      </c>
      <c r="H975" s="15">
        <f t="shared" si="129"/>
        <v>2363.6363636363635</v>
      </c>
      <c r="I975" s="15">
        <f t="shared" si="130"/>
        <v>52000</v>
      </c>
      <c r="J975" s="14">
        <f t="shared" si="131"/>
        <v>6240</v>
      </c>
      <c r="K975" s="15">
        <f t="shared" si="132"/>
        <v>390</v>
      </c>
      <c r="L975" s="15">
        <f t="shared" si="133"/>
        <v>45370</v>
      </c>
      <c r="M975" s="14"/>
      <c r="N975" s="14"/>
    </row>
    <row r="976" ht="14.25">
      <c r="A976" s="14">
        <v>974</v>
      </c>
      <c r="B976" s="14" t="str">
        <f t="shared" si="127"/>
        <v>Empl_974</v>
      </c>
      <c r="C976" s="14" t="s">
        <v>10</v>
      </c>
      <c r="D976" s="14">
        <v>26000</v>
      </c>
      <c r="E976" s="14">
        <f t="shared" ca="1" si="134"/>
        <v>30</v>
      </c>
      <c r="F976" s="14">
        <v>25</v>
      </c>
      <c r="G976" s="14">
        <f t="shared" si="128"/>
        <v>5</v>
      </c>
      <c r="H976" s="15">
        <f t="shared" si="129"/>
        <v>1040</v>
      </c>
      <c r="I976" s="15">
        <f t="shared" si="130"/>
        <v>26000</v>
      </c>
      <c r="J976" s="14">
        <f t="shared" si="131"/>
        <v>3120</v>
      </c>
      <c r="K976" s="15">
        <f t="shared" si="132"/>
        <v>195</v>
      </c>
      <c r="L976" s="15">
        <f t="shared" si="133"/>
        <v>22685</v>
      </c>
      <c r="M976" s="14"/>
      <c r="N976" s="14"/>
    </row>
    <row r="977" ht="14.25">
      <c r="A977" s="14">
        <v>975</v>
      </c>
      <c r="B977" s="14" t="str">
        <f t="shared" si="127"/>
        <v>Empl_975</v>
      </c>
      <c r="C977" s="14" t="s">
        <v>13</v>
      </c>
      <c r="D977" s="14">
        <v>31000</v>
      </c>
      <c r="E977" s="14">
        <f t="shared" ca="1" si="134"/>
        <v>30</v>
      </c>
      <c r="F977" s="14">
        <v>28</v>
      </c>
      <c r="G977" s="14">
        <f t="shared" si="128"/>
        <v>2</v>
      </c>
      <c r="H977" s="15">
        <f t="shared" si="129"/>
        <v>1107.1428571428571</v>
      </c>
      <c r="I977" s="15">
        <f t="shared" si="130"/>
        <v>31000</v>
      </c>
      <c r="J977" s="14">
        <f t="shared" si="131"/>
        <v>3720</v>
      </c>
      <c r="K977" s="15">
        <f t="shared" si="132"/>
        <v>232.5</v>
      </c>
      <c r="L977" s="15">
        <f t="shared" si="133"/>
        <v>27047.5</v>
      </c>
      <c r="M977" s="14"/>
      <c r="N977" s="14"/>
    </row>
    <row r="978" ht="14.25">
      <c r="A978" s="14">
        <v>976</v>
      </c>
      <c r="B978" s="14" t="str">
        <f t="shared" si="127"/>
        <v>Empl_976</v>
      </c>
      <c r="C978" s="14" t="s">
        <v>9</v>
      </c>
      <c r="D978" s="14">
        <v>39000</v>
      </c>
      <c r="E978" s="14">
        <f t="shared" ca="1" si="134"/>
        <v>30</v>
      </c>
      <c r="F978" s="14">
        <v>27</v>
      </c>
      <c r="G978" s="14">
        <f t="shared" si="128"/>
        <v>3</v>
      </c>
      <c r="H978" s="15">
        <f t="shared" si="129"/>
        <v>1444.4444444444443</v>
      </c>
      <c r="I978" s="15">
        <f t="shared" si="130"/>
        <v>39000</v>
      </c>
      <c r="J978" s="14">
        <f t="shared" si="131"/>
        <v>4680</v>
      </c>
      <c r="K978" s="15">
        <f t="shared" si="132"/>
        <v>292.5</v>
      </c>
      <c r="L978" s="15">
        <f t="shared" si="133"/>
        <v>34027.5</v>
      </c>
      <c r="M978" s="14"/>
      <c r="N978" s="14"/>
    </row>
    <row r="979" ht="14.25">
      <c r="A979" s="14">
        <v>977</v>
      </c>
      <c r="B979" s="14" t="str">
        <f t="shared" si="127"/>
        <v>Empl_977</v>
      </c>
      <c r="C979" s="14" t="s">
        <v>11</v>
      </c>
      <c r="D979" s="14">
        <v>39000</v>
      </c>
      <c r="E979" s="14">
        <f t="shared" ca="1" si="134"/>
        <v>30</v>
      </c>
      <c r="F979" s="14">
        <v>24</v>
      </c>
      <c r="G979" s="14">
        <f t="shared" si="128"/>
        <v>6</v>
      </c>
      <c r="H979" s="15">
        <f t="shared" si="129"/>
        <v>1625</v>
      </c>
      <c r="I979" s="15">
        <f t="shared" si="130"/>
        <v>39000</v>
      </c>
      <c r="J979" s="14">
        <f t="shared" si="131"/>
        <v>4680</v>
      </c>
      <c r="K979" s="15">
        <f t="shared" si="132"/>
        <v>292.5</v>
      </c>
      <c r="L979" s="15">
        <f t="shared" si="133"/>
        <v>34027.5</v>
      </c>
      <c r="M979" s="14"/>
      <c r="N979" s="14"/>
    </row>
    <row r="980" ht="14.25">
      <c r="A980" s="14">
        <v>978</v>
      </c>
      <c r="B980" s="14" t="str">
        <f t="shared" si="127"/>
        <v>Empl_978</v>
      </c>
      <c r="C980" s="14" t="s">
        <v>8</v>
      </c>
      <c r="D980" s="14">
        <v>56000</v>
      </c>
      <c r="E980" s="14">
        <f t="shared" ca="1" si="134"/>
        <v>30</v>
      </c>
      <c r="F980" s="14">
        <v>29</v>
      </c>
      <c r="G980" s="14">
        <f t="shared" si="128"/>
        <v>1</v>
      </c>
      <c r="H980" s="15">
        <f t="shared" si="129"/>
        <v>1931.0344827586207</v>
      </c>
      <c r="I980" s="15">
        <f t="shared" si="130"/>
        <v>56000</v>
      </c>
      <c r="J980" s="14">
        <f t="shared" si="131"/>
        <v>6720</v>
      </c>
      <c r="K980" s="15">
        <f t="shared" si="132"/>
        <v>420</v>
      </c>
      <c r="L980" s="15">
        <f t="shared" si="133"/>
        <v>48860</v>
      </c>
      <c r="M980" s="14"/>
      <c r="N980" s="14"/>
    </row>
    <row r="981" ht="14.25">
      <c r="A981" s="14">
        <v>979</v>
      </c>
      <c r="B981" s="14" t="str">
        <f t="shared" si="127"/>
        <v>Empl_979</v>
      </c>
      <c r="C981" s="14" t="s">
        <v>12</v>
      </c>
      <c r="D981" s="14">
        <v>15000</v>
      </c>
      <c r="E981" s="14">
        <f t="shared" ca="1" si="134"/>
        <v>30</v>
      </c>
      <c r="F981" s="14">
        <v>20</v>
      </c>
      <c r="G981" s="14">
        <f t="shared" si="128"/>
        <v>10</v>
      </c>
      <c r="H981" s="15">
        <f t="shared" si="129"/>
        <v>750</v>
      </c>
      <c r="I981" s="15">
        <f t="shared" si="130"/>
        <v>15000</v>
      </c>
      <c r="J981" s="14">
        <f t="shared" si="131"/>
        <v>1800</v>
      </c>
      <c r="K981" s="15">
        <f t="shared" si="132"/>
        <v>112.5</v>
      </c>
      <c r="L981" s="15">
        <f t="shared" si="133"/>
        <v>13087.5</v>
      </c>
      <c r="M981" s="14"/>
      <c r="N981" s="14"/>
    </row>
    <row r="982" ht="14.25">
      <c r="A982" s="14">
        <v>980</v>
      </c>
      <c r="B982" s="14" t="str">
        <f t="shared" si="127"/>
        <v>Empl_980</v>
      </c>
      <c r="C982" s="14" t="s">
        <v>10</v>
      </c>
      <c r="D982" s="14">
        <v>29000</v>
      </c>
      <c r="E982" s="14">
        <f t="shared" ca="1" si="134"/>
        <v>30</v>
      </c>
      <c r="F982" s="14">
        <v>25</v>
      </c>
      <c r="G982" s="14">
        <f t="shared" si="128"/>
        <v>5</v>
      </c>
      <c r="H982" s="15">
        <f t="shared" si="129"/>
        <v>1160</v>
      </c>
      <c r="I982" s="15">
        <f t="shared" si="130"/>
        <v>29000</v>
      </c>
      <c r="J982" s="14">
        <f t="shared" si="131"/>
        <v>3480</v>
      </c>
      <c r="K982" s="15">
        <f t="shared" si="132"/>
        <v>217.5</v>
      </c>
      <c r="L982" s="15">
        <f t="shared" si="133"/>
        <v>25302.5</v>
      </c>
      <c r="M982" s="14"/>
      <c r="N982" s="14"/>
    </row>
    <row r="983" ht="14.25">
      <c r="A983" s="14">
        <v>981</v>
      </c>
      <c r="B983" s="14" t="str">
        <f t="shared" si="127"/>
        <v>Empl_981</v>
      </c>
      <c r="C983" s="14" t="s">
        <v>13</v>
      </c>
      <c r="D983" s="14">
        <v>45000</v>
      </c>
      <c r="E983" s="14">
        <f t="shared" ca="1" si="134"/>
        <v>30</v>
      </c>
      <c r="F983" s="14">
        <v>29</v>
      </c>
      <c r="G983" s="14">
        <f t="shared" si="128"/>
        <v>1</v>
      </c>
      <c r="H983" s="15">
        <f t="shared" si="129"/>
        <v>1551.7241379310344</v>
      </c>
      <c r="I983" s="15">
        <f t="shared" si="130"/>
        <v>45000</v>
      </c>
      <c r="J983" s="14">
        <f t="shared" si="131"/>
        <v>5400</v>
      </c>
      <c r="K983" s="15">
        <f t="shared" si="132"/>
        <v>337.5</v>
      </c>
      <c r="L983" s="15">
        <f t="shared" si="133"/>
        <v>39262.5</v>
      </c>
      <c r="M983" s="14"/>
      <c r="N983" s="14"/>
    </row>
    <row r="984" ht="14.25">
      <c r="A984" s="14">
        <v>982</v>
      </c>
      <c r="B984" s="14" t="str">
        <f t="shared" si="127"/>
        <v>Empl_982</v>
      </c>
      <c r="C984" s="14" t="s">
        <v>9</v>
      </c>
      <c r="D984" s="14">
        <v>26000</v>
      </c>
      <c r="E984" s="14">
        <f t="shared" ca="1" si="134"/>
        <v>30</v>
      </c>
      <c r="F984" s="14">
        <v>28</v>
      </c>
      <c r="G984" s="14">
        <f t="shared" si="128"/>
        <v>2</v>
      </c>
      <c r="H984" s="15">
        <f t="shared" si="129"/>
        <v>928.57142857142856</v>
      </c>
      <c r="I984" s="15">
        <f t="shared" si="130"/>
        <v>26000</v>
      </c>
      <c r="J984" s="14">
        <f t="shared" si="131"/>
        <v>3120</v>
      </c>
      <c r="K984" s="15">
        <f t="shared" si="132"/>
        <v>195</v>
      </c>
      <c r="L984" s="15">
        <f t="shared" si="133"/>
        <v>22685</v>
      </c>
      <c r="M984" s="14"/>
      <c r="N984" s="14"/>
    </row>
    <row r="985" ht="14.25">
      <c r="A985" s="14">
        <v>983</v>
      </c>
      <c r="B985" s="14" t="str">
        <f t="shared" si="127"/>
        <v>Empl_983</v>
      </c>
      <c r="C985" s="14" t="s">
        <v>11</v>
      </c>
      <c r="D985" s="14">
        <v>56000</v>
      </c>
      <c r="E985" s="14">
        <f t="shared" ca="1" si="134"/>
        <v>30</v>
      </c>
      <c r="F985" s="14">
        <v>24</v>
      </c>
      <c r="G985" s="14">
        <f t="shared" si="128"/>
        <v>6</v>
      </c>
      <c r="H985" s="15">
        <f t="shared" si="129"/>
        <v>2333.3333333333335</v>
      </c>
      <c r="I985" s="15">
        <f t="shared" si="130"/>
        <v>56000</v>
      </c>
      <c r="J985" s="14">
        <f t="shared" si="131"/>
        <v>6720</v>
      </c>
      <c r="K985" s="15">
        <f t="shared" si="132"/>
        <v>420</v>
      </c>
      <c r="L985" s="15">
        <f t="shared" si="133"/>
        <v>48860</v>
      </c>
      <c r="M985" s="14"/>
      <c r="N985" s="14"/>
    </row>
    <row r="986" ht="14.25">
      <c r="A986" s="14">
        <v>984</v>
      </c>
      <c r="B986" s="14" t="str">
        <f t="shared" si="127"/>
        <v>Empl_984</v>
      </c>
      <c r="C986" s="14" t="s">
        <v>8</v>
      </c>
      <c r="D986" s="14">
        <v>24000</v>
      </c>
      <c r="E986" s="14">
        <f t="shared" ca="1" si="134"/>
        <v>30</v>
      </c>
      <c r="F986" s="14">
        <v>21</v>
      </c>
      <c r="G986" s="14">
        <f t="shared" si="128"/>
        <v>9</v>
      </c>
      <c r="H986" s="15">
        <f t="shared" si="129"/>
        <v>1142.8571428571429</v>
      </c>
      <c r="I986" s="15">
        <f t="shared" si="130"/>
        <v>24000</v>
      </c>
      <c r="J986" s="14">
        <f t="shared" si="131"/>
        <v>2880</v>
      </c>
      <c r="K986" s="15">
        <f t="shared" si="132"/>
        <v>180</v>
      </c>
      <c r="L986" s="15">
        <f t="shared" si="133"/>
        <v>20940</v>
      </c>
      <c r="M986" s="14"/>
      <c r="N986" s="14"/>
    </row>
    <row r="987" ht="14.25">
      <c r="A987" s="14">
        <v>985</v>
      </c>
      <c r="B987" s="14" t="str">
        <f t="shared" si="127"/>
        <v>Empl_985</v>
      </c>
      <c r="C987" s="14" t="s">
        <v>12</v>
      </c>
      <c r="D987" s="14">
        <v>57000</v>
      </c>
      <c r="E987" s="14">
        <f t="shared" ca="1" si="134"/>
        <v>30</v>
      </c>
      <c r="F987" s="14">
        <v>28</v>
      </c>
      <c r="G987" s="14">
        <f t="shared" si="128"/>
        <v>2</v>
      </c>
      <c r="H987" s="15">
        <f t="shared" si="129"/>
        <v>2035.7142857142858</v>
      </c>
      <c r="I987" s="15">
        <f t="shared" si="130"/>
        <v>57000</v>
      </c>
      <c r="J987" s="14">
        <f t="shared" si="131"/>
        <v>6840</v>
      </c>
      <c r="K987" s="15">
        <f t="shared" si="132"/>
        <v>427.5</v>
      </c>
      <c r="L987" s="15">
        <f t="shared" si="133"/>
        <v>49732.5</v>
      </c>
      <c r="M987" s="14"/>
      <c r="N987" s="14"/>
    </row>
    <row r="988" ht="14.25">
      <c r="A988" s="14">
        <v>986</v>
      </c>
      <c r="B988" s="14" t="str">
        <f t="shared" si="127"/>
        <v>Empl_986</v>
      </c>
      <c r="C988" s="14" t="s">
        <v>10</v>
      </c>
      <c r="D988" s="14">
        <v>39000</v>
      </c>
      <c r="E988" s="14">
        <f t="shared" ca="1" si="134"/>
        <v>30</v>
      </c>
      <c r="F988" s="14">
        <v>21</v>
      </c>
      <c r="G988" s="14">
        <f t="shared" si="128"/>
        <v>9</v>
      </c>
      <c r="H988" s="15">
        <f t="shared" si="129"/>
        <v>1857.1428571428571</v>
      </c>
      <c r="I988" s="15">
        <f t="shared" si="130"/>
        <v>39000</v>
      </c>
      <c r="J988" s="14">
        <f t="shared" si="131"/>
        <v>4680</v>
      </c>
      <c r="K988" s="15">
        <f t="shared" si="132"/>
        <v>292.5</v>
      </c>
      <c r="L988" s="15">
        <f t="shared" si="133"/>
        <v>34027.5</v>
      </c>
      <c r="M988" s="14"/>
      <c r="N988" s="14"/>
    </row>
    <row r="989" ht="14.25">
      <c r="A989" s="14">
        <v>987</v>
      </c>
      <c r="B989" s="14" t="str">
        <f t="shared" si="127"/>
        <v>Empl_987</v>
      </c>
      <c r="C989" s="14" t="s">
        <v>13</v>
      </c>
      <c r="D989" s="14">
        <v>45000</v>
      </c>
      <c r="E989" s="14">
        <f t="shared" ca="1" si="134"/>
        <v>30</v>
      </c>
      <c r="F989" s="14">
        <v>25</v>
      </c>
      <c r="G989" s="14">
        <f t="shared" si="128"/>
        <v>5</v>
      </c>
      <c r="H989" s="15">
        <f t="shared" si="129"/>
        <v>1800</v>
      </c>
      <c r="I989" s="15">
        <f t="shared" si="130"/>
        <v>45000</v>
      </c>
      <c r="J989" s="14">
        <f t="shared" si="131"/>
        <v>5400</v>
      </c>
      <c r="K989" s="15">
        <f t="shared" si="132"/>
        <v>337.5</v>
      </c>
      <c r="L989" s="15">
        <f t="shared" si="133"/>
        <v>39262.5</v>
      </c>
      <c r="M989" s="14"/>
      <c r="N989" s="14"/>
    </row>
    <row r="990" ht="14.25">
      <c r="A990" s="14">
        <v>988</v>
      </c>
      <c r="B990" s="14" t="str">
        <f t="shared" si="127"/>
        <v>Empl_988</v>
      </c>
      <c r="C990" s="14" t="s">
        <v>9</v>
      </c>
      <c r="D990" s="14">
        <v>23000</v>
      </c>
      <c r="E990" s="14">
        <f t="shared" ca="1" si="134"/>
        <v>30</v>
      </c>
      <c r="F990" s="14">
        <v>26</v>
      </c>
      <c r="G990" s="14">
        <f t="shared" si="128"/>
        <v>4</v>
      </c>
      <c r="H990" s="15">
        <f t="shared" si="129"/>
        <v>884.61538461538464</v>
      </c>
      <c r="I990" s="15">
        <f t="shared" si="130"/>
        <v>23000</v>
      </c>
      <c r="J990" s="14">
        <f t="shared" si="131"/>
        <v>2760</v>
      </c>
      <c r="K990" s="15">
        <f t="shared" si="132"/>
        <v>172.5</v>
      </c>
      <c r="L990" s="15">
        <f t="shared" si="133"/>
        <v>20067.5</v>
      </c>
      <c r="M990" s="14"/>
      <c r="N990" s="14"/>
    </row>
    <row r="991" ht="14.25">
      <c r="A991" s="14">
        <v>989</v>
      </c>
      <c r="B991" s="14" t="str">
        <f t="shared" si="127"/>
        <v>Empl_989</v>
      </c>
      <c r="C991" s="14" t="s">
        <v>11</v>
      </c>
      <c r="D991" s="14">
        <v>58000</v>
      </c>
      <c r="E991" s="14">
        <f t="shared" ca="1" si="134"/>
        <v>30</v>
      </c>
      <c r="F991" s="14">
        <v>29</v>
      </c>
      <c r="G991" s="14">
        <f t="shared" si="128"/>
        <v>1</v>
      </c>
      <c r="H991" s="15">
        <f t="shared" si="129"/>
        <v>2000</v>
      </c>
      <c r="I991" s="15">
        <f t="shared" si="130"/>
        <v>58000</v>
      </c>
      <c r="J991" s="14">
        <f t="shared" si="131"/>
        <v>6960</v>
      </c>
      <c r="K991" s="15">
        <f t="shared" si="132"/>
        <v>435</v>
      </c>
      <c r="L991" s="15">
        <f t="shared" si="133"/>
        <v>50605</v>
      </c>
      <c r="M991" s="14"/>
      <c r="N991" s="14"/>
    </row>
    <row r="992" ht="14.25">
      <c r="A992" s="14">
        <v>990</v>
      </c>
      <c r="B992" s="14" t="str">
        <f t="shared" si="127"/>
        <v>Empl_990</v>
      </c>
      <c r="C992" s="14" t="s">
        <v>8</v>
      </c>
      <c r="D992" s="14">
        <v>54000</v>
      </c>
      <c r="E992" s="14">
        <f t="shared" ca="1" si="134"/>
        <v>30</v>
      </c>
      <c r="F992" s="14">
        <v>27</v>
      </c>
      <c r="G992" s="14">
        <f t="shared" si="128"/>
        <v>3</v>
      </c>
      <c r="H992" s="15">
        <f t="shared" si="129"/>
        <v>2000</v>
      </c>
      <c r="I992" s="15">
        <f t="shared" si="130"/>
        <v>54000</v>
      </c>
      <c r="J992" s="14">
        <f t="shared" si="131"/>
        <v>6480</v>
      </c>
      <c r="K992" s="15">
        <f t="shared" si="132"/>
        <v>405</v>
      </c>
      <c r="L992" s="15">
        <f t="shared" si="133"/>
        <v>47115</v>
      </c>
      <c r="M992" s="14"/>
      <c r="N992" s="14"/>
    </row>
    <row r="993" ht="14.25">
      <c r="A993" s="14">
        <v>991</v>
      </c>
      <c r="B993" s="14" t="str">
        <f t="shared" si="127"/>
        <v>Empl_991</v>
      </c>
      <c r="C993" s="14" t="s">
        <v>12</v>
      </c>
      <c r="D993" s="14">
        <v>35000</v>
      </c>
      <c r="E993" s="14">
        <f t="shared" ca="1" si="134"/>
        <v>30</v>
      </c>
      <c r="F993" s="14">
        <v>22</v>
      </c>
      <c r="G993" s="14">
        <f t="shared" si="128"/>
        <v>8</v>
      </c>
      <c r="H993" s="15">
        <f t="shared" si="129"/>
        <v>1590.909090909091</v>
      </c>
      <c r="I993" s="15">
        <f t="shared" si="130"/>
        <v>35000</v>
      </c>
      <c r="J993" s="14">
        <f t="shared" si="131"/>
        <v>4200</v>
      </c>
      <c r="K993" s="15">
        <f t="shared" si="132"/>
        <v>262.5</v>
      </c>
      <c r="L993" s="15">
        <f t="shared" si="133"/>
        <v>30537.5</v>
      </c>
      <c r="M993" s="14"/>
      <c r="N993" s="14"/>
    </row>
    <row r="994" ht="14.25">
      <c r="A994" s="14">
        <v>992</v>
      </c>
      <c r="B994" s="14" t="str">
        <f t="shared" si="127"/>
        <v>Empl_992</v>
      </c>
      <c r="C994" s="14" t="s">
        <v>10</v>
      </c>
      <c r="D994" s="14">
        <v>15000</v>
      </c>
      <c r="E994" s="14">
        <f t="shared" ca="1" si="134"/>
        <v>30</v>
      </c>
      <c r="F994" s="14">
        <v>23</v>
      </c>
      <c r="G994" s="14">
        <f t="shared" si="128"/>
        <v>7</v>
      </c>
      <c r="H994" s="15">
        <f t="shared" si="129"/>
        <v>652.17391304347825</v>
      </c>
      <c r="I994" s="15">
        <f t="shared" si="130"/>
        <v>15000</v>
      </c>
      <c r="J994" s="14">
        <f t="shared" si="131"/>
        <v>1800</v>
      </c>
      <c r="K994" s="15">
        <f t="shared" si="132"/>
        <v>112.5</v>
      </c>
      <c r="L994" s="15">
        <f t="shared" si="133"/>
        <v>13087.5</v>
      </c>
      <c r="M994" s="14"/>
      <c r="N994" s="14"/>
    </row>
    <row r="995" ht="14.25">
      <c r="A995" s="14">
        <v>993</v>
      </c>
      <c r="B995" s="14" t="str">
        <f t="shared" si="127"/>
        <v>Empl_993</v>
      </c>
      <c r="C995" s="14" t="s">
        <v>13</v>
      </c>
      <c r="D995" s="14">
        <v>38000</v>
      </c>
      <c r="E995" s="14">
        <f t="shared" ca="1" si="134"/>
        <v>30</v>
      </c>
      <c r="F995" s="14">
        <v>27</v>
      </c>
      <c r="G995" s="14">
        <f t="shared" si="128"/>
        <v>3</v>
      </c>
      <c r="H995" s="15">
        <f t="shared" si="129"/>
        <v>1407.4074074074074</v>
      </c>
      <c r="I995" s="15">
        <f t="shared" si="130"/>
        <v>38000</v>
      </c>
      <c r="J995" s="14">
        <f t="shared" si="131"/>
        <v>4560</v>
      </c>
      <c r="K995" s="15">
        <f t="shared" si="132"/>
        <v>285</v>
      </c>
      <c r="L995" s="15">
        <f t="shared" si="133"/>
        <v>33155</v>
      </c>
      <c r="M995" s="14"/>
      <c r="N995" s="14"/>
    </row>
    <row r="996" ht="14.25">
      <c r="A996" s="14">
        <v>994</v>
      </c>
      <c r="B996" s="14" t="str">
        <f t="shared" ref="B996:B999" si="135">"Empl_"&amp;A996</f>
        <v>Empl_994</v>
      </c>
      <c r="C996" s="14" t="s">
        <v>9</v>
      </c>
      <c r="D996" s="14">
        <v>58000</v>
      </c>
      <c r="E996" s="14">
        <f t="shared" ca="1" si="134"/>
        <v>30</v>
      </c>
      <c r="F996" s="14">
        <v>30</v>
      </c>
      <c r="G996" s="14">
        <f t="shared" ref="G996:G999" si="136">E996-F996</f>
        <v>0</v>
      </c>
      <c r="H996" s="15">
        <f t="shared" ref="H996:H999" si="137">D996/F996</f>
        <v>1933.3333333333333</v>
      </c>
      <c r="I996" s="15">
        <f t="shared" ref="I996:I999" si="138">H996*F996</f>
        <v>58000</v>
      </c>
      <c r="J996" s="14">
        <f t="shared" ref="J996:J999" si="139">I996*12%</f>
        <v>6960</v>
      </c>
      <c r="K996" s="15">
        <f t="shared" ref="K996:K999" si="140">I996*0.75%</f>
        <v>435</v>
      </c>
      <c r="L996" s="15">
        <f t="shared" ref="L996:L999" si="141">I996-(J996+K996)</f>
        <v>50605</v>
      </c>
      <c r="M996" s="14"/>
      <c r="N996" s="14"/>
    </row>
    <row r="997" ht="14.25">
      <c r="A997" s="14">
        <v>995</v>
      </c>
      <c r="B997" s="14" t="str">
        <f t="shared" si="135"/>
        <v>Empl_995</v>
      </c>
      <c r="C997" s="14" t="s">
        <v>11</v>
      </c>
      <c r="D997" s="14">
        <v>27000</v>
      </c>
      <c r="E997" s="14">
        <f t="shared" ca="1" si="134"/>
        <v>30</v>
      </c>
      <c r="F997" s="14">
        <v>20</v>
      </c>
      <c r="G997" s="14">
        <f t="shared" si="136"/>
        <v>10</v>
      </c>
      <c r="H997" s="15">
        <f t="shared" si="137"/>
        <v>1350</v>
      </c>
      <c r="I997" s="15">
        <f t="shared" si="138"/>
        <v>27000</v>
      </c>
      <c r="J997" s="14">
        <f t="shared" si="139"/>
        <v>3240</v>
      </c>
      <c r="K997" s="15">
        <f t="shared" si="140"/>
        <v>202.5</v>
      </c>
      <c r="L997" s="15">
        <f t="shared" si="141"/>
        <v>23557.5</v>
      </c>
      <c r="M997" s="14"/>
      <c r="N997" s="14"/>
    </row>
    <row r="998" ht="14.25">
      <c r="A998" s="14">
        <v>996</v>
      </c>
      <c r="B998" s="14" t="str">
        <f t="shared" si="135"/>
        <v>Empl_996</v>
      </c>
      <c r="C998" s="14" t="s">
        <v>8</v>
      </c>
      <c r="D998" s="14">
        <v>37000</v>
      </c>
      <c r="E998" s="14">
        <f t="shared" ca="1" si="134"/>
        <v>30</v>
      </c>
      <c r="F998" s="14">
        <v>29</v>
      </c>
      <c r="G998" s="14">
        <f t="shared" si="136"/>
        <v>1</v>
      </c>
      <c r="H998" s="15">
        <f t="shared" si="137"/>
        <v>1275.8620689655172</v>
      </c>
      <c r="I998" s="15">
        <f t="shared" si="138"/>
        <v>37000</v>
      </c>
      <c r="J998" s="14">
        <f t="shared" si="139"/>
        <v>4440</v>
      </c>
      <c r="K998" s="15">
        <f t="shared" si="140"/>
        <v>277.5</v>
      </c>
      <c r="L998" s="15">
        <f t="shared" si="141"/>
        <v>32282.5</v>
      </c>
      <c r="M998" s="14"/>
      <c r="N998" s="14"/>
    </row>
    <row r="999" ht="14.25">
      <c r="A999" s="14">
        <v>997</v>
      </c>
      <c r="B999" s="14" t="str">
        <f t="shared" si="135"/>
        <v>Empl_997</v>
      </c>
      <c r="C999" s="14" t="s">
        <v>12</v>
      </c>
      <c r="D999" s="14">
        <v>58000</v>
      </c>
      <c r="E999" s="14">
        <f t="shared" ca="1" si="134"/>
        <v>30</v>
      </c>
      <c r="F999" s="14">
        <v>21</v>
      </c>
      <c r="G999" s="14">
        <f t="shared" si="136"/>
        <v>9</v>
      </c>
      <c r="H999" s="15">
        <f t="shared" si="137"/>
        <v>2761.9047619047619</v>
      </c>
      <c r="I999" s="15">
        <f t="shared" si="138"/>
        <v>58000</v>
      </c>
      <c r="J999" s="14">
        <f t="shared" si="139"/>
        <v>6960</v>
      </c>
      <c r="K999" s="15">
        <f t="shared" si="140"/>
        <v>435</v>
      </c>
      <c r="L999" s="15">
        <f t="shared" si="141"/>
        <v>50605</v>
      </c>
      <c r="M999" s="14"/>
      <c r="N999" s="14"/>
    </row>
    <row r="1000" ht="14.25">
      <c r="A1000" s="14">
        <v>998</v>
      </c>
      <c r="B1000" s="14" t="str">
        <f t="shared" ref="B1000:B1002" si="142">"Empl_"&amp;A1000</f>
        <v>Empl_998</v>
      </c>
      <c r="C1000" s="14" t="s">
        <v>10</v>
      </c>
      <c r="D1000" s="14">
        <v>52000</v>
      </c>
      <c r="E1000" s="14">
        <f t="shared" ca="1" si="134"/>
        <v>30</v>
      </c>
      <c r="F1000" s="14">
        <v>24</v>
      </c>
      <c r="G1000" s="14">
        <f t="shared" ref="G1000:G1002" si="143">E1000-F1000</f>
        <v>6</v>
      </c>
      <c r="H1000" s="15">
        <f t="shared" ref="H1000:H1002" si="144">D1000/F1000</f>
        <v>2166.6666666666665</v>
      </c>
      <c r="I1000" s="15">
        <f t="shared" ref="I1000:I1002" si="145">H1000*F1000</f>
        <v>52000</v>
      </c>
      <c r="J1000" s="14">
        <f t="shared" ref="J1000:J1002" si="146">I1000*12%</f>
        <v>6240</v>
      </c>
      <c r="K1000" s="15">
        <f t="shared" ref="K1000:K1002" si="147">I1000*0.75%</f>
        <v>390</v>
      </c>
      <c r="L1000" s="15">
        <f t="shared" ref="L1000:L1002" si="148">I1000-(J1000+K1000)</f>
        <v>45370</v>
      </c>
      <c r="M1000" s="14"/>
      <c r="N1000" s="14"/>
    </row>
    <row r="1001" ht="14.25">
      <c r="A1001" s="14">
        <v>999</v>
      </c>
      <c r="B1001" s="14" t="str">
        <f t="shared" si="142"/>
        <v>Empl_999</v>
      </c>
      <c r="C1001" s="14" t="s">
        <v>13</v>
      </c>
      <c r="D1001" s="14">
        <v>50000</v>
      </c>
      <c r="E1001" s="14">
        <f t="shared" ca="1" si="134"/>
        <v>30</v>
      </c>
      <c r="F1001" s="14">
        <v>30</v>
      </c>
      <c r="G1001" s="14">
        <f t="shared" si="143"/>
        <v>0</v>
      </c>
      <c r="H1001" s="15">
        <f t="shared" si="144"/>
        <v>1666.6666666666667</v>
      </c>
      <c r="I1001" s="15">
        <f t="shared" si="145"/>
        <v>50000</v>
      </c>
      <c r="J1001" s="14">
        <f t="shared" si="146"/>
        <v>6000</v>
      </c>
      <c r="K1001" s="15">
        <f t="shared" si="147"/>
        <v>375</v>
      </c>
      <c r="L1001" s="15">
        <f t="shared" si="148"/>
        <v>43625</v>
      </c>
      <c r="M1001" s="14"/>
      <c r="N1001" s="14"/>
    </row>
    <row r="1002" ht="14.25">
      <c r="A1002" s="14">
        <v>1000</v>
      </c>
      <c r="B1002" s="14" t="str">
        <f t="shared" si="142"/>
        <v>Empl_1000</v>
      </c>
      <c r="C1002" s="14" t="s">
        <v>9</v>
      </c>
      <c r="D1002" s="14">
        <v>28000</v>
      </c>
      <c r="E1002" s="14">
        <f t="shared" ca="1" si="134"/>
        <v>30</v>
      </c>
      <c r="F1002" s="14">
        <v>27</v>
      </c>
      <c r="G1002" s="14">
        <f t="shared" si="143"/>
        <v>3</v>
      </c>
      <c r="H1002" s="15">
        <f t="shared" si="144"/>
        <v>1037.037037037037</v>
      </c>
      <c r="I1002" s="15">
        <f t="shared" si="145"/>
        <v>27999.999999999996</v>
      </c>
      <c r="J1002" s="14">
        <f t="shared" si="146"/>
        <v>3359.9999999999995</v>
      </c>
      <c r="K1002" s="15">
        <f t="shared" si="147"/>
        <v>209.99999999999997</v>
      </c>
      <c r="L1002" s="15">
        <f t="shared" si="148"/>
        <v>24429.999999999996</v>
      </c>
      <c r="M1002" s="14"/>
      <c r="N1002" s="14"/>
    </row>
    <row r="1003" ht="14.25">
      <c r="B1003" s="14"/>
      <c r="C1003" s="14"/>
      <c r="D1003" s="14"/>
      <c r="E1003" s="14"/>
      <c r="F1003" s="14"/>
      <c r="G1003" s="14"/>
      <c r="H1003" s="14"/>
      <c r="I1003" s="14"/>
      <c r="J1003" s="14"/>
      <c r="K1003" s="14"/>
      <c r="L1003" s="14"/>
      <c r="M1003" s="14"/>
      <c r="N1003" s="14"/>
    </row>
  </sheetData>
  <mergeCells count="1">
    <mergeCell ref="E1:H1"/>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19</cp:revision>
  <dcterms:modified xsi:type="dcterms:W3CDTF">2026-09-24T13:30:05Z</dcterms:modified>
</cp:coreProperties>
</file>